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708" yWindow="600" windowWidth="15612" windowHeight="7092" activeTab="3"/>
  </bookViews>
  <sheets>
    <sheet name="02-02-26" sheetId="1" r:id="rId1"/>
    <sheet name="03-02-26" sheetId="17" r:id="rId2"/>
    <sheet name="04-02-26" sheetId="18" r:id="rId3"/>
    <sheet name="05-02-26" sheetId="16" r:id="rId4"/>
    <sheet name="06-02-26" sheetId="22" r:id="rId5"/>
    <sheet name="07-02-26 " sheetId="23" r:id="rId6"/>
    <sheet name="09-02-26 " sheetId="21" r:id="rId7"/>
    <sheet name="Récap_Mensuel" sheetId="2" r:id="rId8"/>
  </sheets>
  <calcPr calcId="144525"/>
</workbook>
</file>

<file path=xl/calcChain.xml><?xml version="1.0" encoding="utf-8"?>
<calcChain xmlns="http://schemas.openxmlformats.org/spreadsheetml/2006/main">
  <c r="I8" i="16" l="1"/>
  <c r="J8" i="16" s="1"/>
  <c r="P8" i="16" s="1"/>
  <c r="R8" i="16" s="1"/>
  <c r="Q26" i="23"/>
  <c r="O26" i="23"/>
  <c r="N26" i="23"/>
  <c r="M26" i="23"/>
  <c r="L26" i="23"/>
  <c r="K26" i="23"/>
  <c r="H26" i="23"/>
  <c r="F26" i="23"/>
  <c r="R24" i="23"/>
  <c r="J24" i="23"/>
  <c r="P24" i="23" s="1"/>
  <c r="I24" i="23"/>
  <c r="J23" i="23"/>
  <c r="P23" i="23" s="1"/>
  <c r="R23" i="23" s="1"/>
  <c r="I23" i="23"/>
  <c r="I22" i="23"/>
  <c r="J22" i="23" s="1"/>
  <c r="P22" i="23" s="1"/>
  <c r="R22" i="23" s="1"/>
  <c r="J21" i="23"/>
  <c r="P21" i="23" s="1"/>
  <c r="R21" i="23" s="1"/>
  <c r="I21" i="23"/>
  <c r="J20" i="23"/>
  <c r="P20" i="23" s="1"/>
  <c r="R20" i="23" s="1"/>
  <c r="I20" i="23"/>
  <c r="I19" i="23"/>
  <c r="J19" i="23" s="1"/>
  <c r="P19" i="23" s="1"/>
  <c r="R19" i="23" s="1"/>
  <c r="J18" i="23"/>
  <c r="P18" i="23" s="1"/>
  <c r="R18" i="23" s="1"/>
  <c r="I18" i="23"/>
  <c r="J17" i="23"/>
  <c r="P17" i="23" s="1"/>
  <c r="R17" i="23" s="1"/>
  <c r="I17" i="23"/>
  <c r="I16" i="23"/>
  <c r="J16" i="23" s="1"/>
  <c r="P16" i="23" s="1"/>
  <c r="R16" i="23" s="1"/>
  <c r="J15" i="23"/>
  <c r="P15" i="23" s="1"/>
  <c r="R15" i="23" s="1"/>
  <c r="I15" i="23"/>
  <c r="J14" i="23"/>
  <c r="P14" i="23" s="1"/>
  <c r="R14" i="23" s="1"/>
  <c r="I14" i="23"/>
  <c r="I13" i="23"/>
  <c r="J13" i="23" s="1"/>
  <c r="P13" i="23" s="1"/>
  <c r="R13" i="23" s="1"/>
  <c r="J12" i="23"/>
  <c r="P12" i="23" s="1"/>
  <c r="R12" i="23" s="1"/>
  <c r="I12" i="23"/>
  <c r="J11" i="23"/>
  <c r="P11" i="23" s="1"/>
  <c r="R11" i="23" s="1"/>
  <c r="I11" i="23"/>
  <c r="I10" i="23"/>
  <c r="J10" i="23" s="1"/>
  <c r="P10" i="23" s="1"/>
  <c r="R10" i="23" s="1"/>
  <c r="J9" i="23"/>
  <c r="P9" i="23" s="1"/>
  <c r="R9" i="23" s="1"/>
  <c r="I9" i="23"/>
  <c r="J8" i="23"/>
  <c r="P8" i="23" s="1"/>
  <c r="R8" i="23" s="1"/>
  <c r="I8" i="23"/>
  <c r="I7" i="23"/>
  <c r="J7" i="23" s="1"/>
  <c r="Q26" i="22"/>
  <c r="O26" i="22"/>
  <c r="N26" i="22"/>
  <c r="M26" i="22"/>
  <c r="L26" i="22"/>
  <c r="K26" i="22"/>
  <c r="H26" i="22"/>
  <c r="F26" i="22"/>
  <c r="R24" i="22"/>
  <c r="I24" i="22"/>
  <c r="J24" i="22" s="1"/>
  <c r="P24" i="22" s="1"/>
  <c r="J23" i="22"/>
  <c r="P23" i="22" s="1"/>
  <c r="R23" i="22" s="1"/>
  <c r="I23" i="22"/>
  <c r="I22" i="22"/>
  <c r="J22" i="22" s="1"/>
  <c r="P22" i="22" s="1"/>
  <c r="R22" i="22" s="1"/>
  <c r="I21" i="22"/>
  <c r="J21" i="22" s="1"/>
  <c r="P21" i="22" s="1"/>
  <c r="R21" i="22" s="1"/>
  <c r="J20" i="22"/>
  <c r="P20" i="22" s="1"/>
  <c r="R20" i="22" s="1"/>
  <c r="I20" i="22"/>
  <c r="I19" i="22"/>
  <c r="J19" i="22" s="1"/>
  <c r="P19" i="22" s="1"/>
  <c r="R19" i="22" s="1"/>
  <c r="I18" i="22"/>
  <c r="J18" i="22" s="1"/>
  <c r="P18" i="22" s="1"/>
  <c r="R18" i="22" s="1"/>
  <c r="J17" i="22"/>
  <c r="P17" i="22" s="1"/>
  <c r="R17" i="22" s="1"/>
  <c r="I17" i="22"/>
  <c r="I16" i="22"/>
  <c r="J16" i="22" s="1"/>
  <c r="P16" i="22" s="1"/>
  <c r="R16" i="22" s="1"/>
  <c r="I15" i="22"/>
  <c r="J15" i="22" s="1"/>
  <c r="P15" i="22" s="1"/>
  <c r="R15" i="22" s="1"/>
  <c r="J14" i="22"/>
  <c r="P14" i="22" s="1"/>
  <c r="R14" i="22" s="1"/>
  <c r="I14" i="22"/>
  <c r="I13" i="22"/>
  <c r="J13" i="22" s="1"/>
  <c r="P13" i="22" s="1"/>
  <c r="R13" i="22" s="1"/>
  <c r="I12" i="22"/>
  <c r="J12" i="22" s="1"/>
  <c r="P12" i="22" s="1"/>
  <c r="R12" i="22" s="1"/>
  <c r="J11" i="22"/>
  <c r="P11" i="22" s="1"/>
  <c r="R11" i="22" s="1"/>
  <c r="I11" i="22"/>
  <c r="I10" i="22"/>
  <c r="J10" i="22" s="1"/>
  <c r="P10" i="22" s="1"/>
  <c r="R10" i="22" s="1"/>
  <c r="I9" i="22"/>
  <c r="J9" i="22" s="1"/>
  <c r="P9" i="22" s="1"/>
  <c r="R9" i="22" s="1"/>
  <c r="J8" i="22"/>
  <c r="P8" i="22" s="1"/>
  <c r="R8" i="22" s="1"/>
  <c r="I8" i="22"/>
  <c r="I7" i="22"/>
  <c r="J7" i="22" s="1"/>
  <c r="Q26" i="21"/>
  <c r="O26" i="21"/>
  <c r="N26" i="21"/>
  <c r="M26" i="21"/>
  <c r="L26" i="21"/>
  <c r="K26" i="21"/>
  <c r="H26" i="21"/>
  <c r="F26" i="21"/>
  <c r="R24" i="21"/>
  <c r="J24" i="21"/>
  <c r="P24" i="21" s="1"/>
  <c r="I24" i="21"/>
  <c r="I23" i="21"/>
  <c r="J23" i="21" s="1"/>
  <c r="P23" i="21" s="1"/>
  <c r="R23" i="21" s="1"/>
  <c r="I22" i="21"/>
  <c r="J22" i="21" s="1"/>
  <c r="P22" i="21" s="1"/>
  <c r="R22" i="21" s="1"/>
  <c r="J21" i="21"/>
  <c r="P21" i="21" s="1"/>
  <c r="R21" i="21" s="1"/>
  <c r="I21" i="21"/>
  <c r="I20" i="21"/>
  <c r="J20" i="21" s="1"/>
  <c r="P20" i="21" s="1"/>
  <c r="R20" i="21" s="1"/>
  <c r="I19" i="21"/>
  <c r="J19" i="21" s="1"/>
  <c r="P19" i="21" s="1"/>
  <c r="R19" i="21" s="1"/>
  <c r="J18" i="21"/>
  <c r="P18" i="21" s="1"/>
  <c r="R18" i="21" s="1"/>
  <c r="I18" i="21"/>
  <c r="I17" i="21"/>
  <c r="J17" i="21" s="1"/>
  <c r="P17" i="21" s="1"/>
  <c r="R17" i="21" s="1"/>
  <c r="I16" i="21"/>
  <c r="J16" i="21" s="1"/>
  <c r="P16" i="21" s="1"/>
  <c r="R16" i="21" s="1"/>
  <c r="J15" i="21"/>
  <c r="P15" i="21" s="1"/>
  <c r="R15" i="21" s="1"/>
  <c r="I15" i="21"/>
  <c r="I14" i="21"/>
  <c r="J14" i="21" s="1"/>
  <c r="P14" i="21" s="1"/>
  <c r="R14" i="21" s="1"/>
  <c r="I13" i="21"/>
  <c r="J13" i="21" s="1"/>
  <c r="P13" i="21" s="1"/>
  <c r="R13" i="21" s="1"/>
  <c r="J12" i="21"/>
  <c r="P12" i="21" s="1"/>
  <c r="R12" i="21" s="1"/>
  <c r="I12" i="21"/>
  <c r="I11" i="21"/>
  <c r="J11" i="21" s="1"/>
  <c r="P11" i="21" s="1"/>
  <c r="R11" i="21" s="1"/>
  <c r="I10" i="21"/>
  <c r="J10" i="21" s="1"/>
  <c r="P10" i="21" s="1"/>
  <c r="R10" i="21" s="1"/>
  <c r="J9" i="21"/>
  <c r="P9" i="21" s="1"/>
  <c r="R9" i="21" s="1"/>
  <c r="I9" i="21"/>
  <c r="I8" i="21"/>
  <c r="J8" i="21" s="1"/>
  <c r="P8" i="21" s="1"/>
  <c r="R8" i="21" s="1"/>
  <c r="I7" i="21"/>
  <c r="J7" i="21" s="1"/>
  <c r="R22" i="16"/>
  <c r="N26" i="16"/>
  <c r="Q26" i="18"/>
  <c r="O26" i="18"/>
  <c r="N26" i="18"/>
  <c r="M26" i="18"/>
  <c r="L26" i="18"/>
  <c r="K26" i="18"/>
  <c r="H26" i="18"/>
  <c r="F26" i="18"/>
  <c r="R24" i="18"/>
  <c r="J24" i="18"/>
  <c r="P24" i="18" s="1"/>
  <c r="I24" i="18"/>
  <c r="R23" i="18"/>
  <c r="I23" i="18"/>
  <c r="J23" i="18" s="1"/>
  <c r="P23" i="18" s="1"/>
  <c r="I22" i="18"/>
  <c r="J22" i="18" s="1"/>
  <c r="P22" i="18" s="1"/>
  <c r="I21" i="18"/>
  <c r="J21" i="18" s="1"/>
  <c r="P21" i="18" s="1"/>
  <c r="R21" i="18" s="1"/>
  <c r="I20" i="18"/>
  <c r="J20" i="18" s="1"/>
  <c r="P20" i="18" s="1"/>
  <c r="R20" i="18" s="1"/>
  <c r="I19" i="18"/>
  <c r="J19" i="18" s="1"/>
  <c r="P19" i="18" s="1"/>
  <c r="R19" i="18" s="1"/>
  <c r="I18" i="18"/>
  <c r="J18" i="18" s="1"/>
  <c r="P18" i="18" s="1"/>
  <c r="R18" i="18" s="1"/>
  <c r="I17" i="18"/>
  <c r="J17" i="18" s="1"/>
  <c r="P17" i="18" s="1"/>
  <c r="R17" i="18" s="1"/>
  <c r="I16" i="18"/>
  <c r="J16" i="18" s="1"/>
  <c r="P16" i="18" s="1"/>
  <c r="R16" i="18" s="1"/>
  <c r="I15" i="18"/>
  <c r="J15" i="18" s="1"/>
  <c r="P15" i="18" s="1"/>
  <c r="R15" i="18" s="1"/>
  <c r="I14" i="18"/>
  <c r="J14" i="18" s="1"/>
  <c r="P14" i="18" s="1"/>
  <c r="R14" i="18" s="1"/>
  <c r="I13" i="18"/>
  <c r="J13" i="18" s="1"/>
  <c r="P13" i="18" s="1"/>
  <c r="R13" i="18" s="1"/>
  <c r="I12" i="18"/>
  <c r="J12" i="18" s="1"/>
  <c r="P12" i="18" s="1"/>
  <c r="R12" i="18" s="1"/>
  <c r="I11" i="18"/>
  <c r="J11" i="18" s="1"/>
  <c r="P11" i="18" s="1"/>
  <c r="R11" i="18" s="1"/>
  <c r="I10" i="18"/>
  <c r="J10" i="18" s="1"/>
  <c r="P10" i="18" s="1"/>
  <c r="R10" i="18" s="1"/>
  <c r="I9" i="18"/>
  <c r="J9" i="18" s="1"/>
  <c r="P9" i="18" s="1"/>
  <c r="R9" i="18" s="1"/>
  <c r="I8" i="18"/>
  <c r="J8" i="18" s="1"/>
  <c r="P8" i="18" s="1"/>
  <c r="R8" i="18" s="1"/>
  <c r="I7" i="18"/>
  <c r="J7" i="18" s="1"/>
  <c r="Q26" i="17"/>
  <c r="O26" i="17"/>
  <c r="N26" i="17"/>
  <c r="M26" i="17"/>
  <c r="L26" i="17"/>
  <c r="K26" i="17"/>
  <c r="H26" i="17"/>
  <c r="F26" i="17"/>
  <c r="R24" i="17"/>
  <c r="J24" i="17"/>
  <c r="P24" i="17" s="1"/>
  <c r="I24" i="17"/>
  <c r="R23" i="17"/>
  <c r="I23" i="17"/>
  <c r="J23" i="17" s="1"/>
  <c r="P23" i="17" s="1"/>
  <c r="I22" i="17"/>
  <c r="J22" i="17" s="1"/>
  <c r="P22" i="17" s="1"/>
  <c r="I21" i="17"/>
  <c r="J21" i="17" s="1"/>
  <c r="P21" i="17" s="1"/>
  <c r="R21" i="17" s="1"/>
  <c r="J20" i="17"/>
  <c r="P20" i="17" s="1"/>
  <c r="R20" i="17" s="1"/>
  <c r="I20" i="17"/>
  <c r="I19" i="17"/>
  <c r="J19" i="17" s="1"/>
  <c r="P19" i="17" s="1"/>
  <c r="R19" i="17" s="1"/>
  <c r="I18" i="17"/>
  <c r="J18" i="17" s="1"/>
  <c r="P18" i="17" s="1"/>
  <c r="R18" i="17" s="1"/>
  <c r="P17" i="17"/>
  <c r="R17" i="17" s="1"/>
  <c r="J17" i="17"/>
  <c r="I17" i="17"/>
  <c r="I16" i="17"/>
  <c r="J16" i="17" s="1"/>
  <c r="P16" i="17" s="1"/>
  <c r="R16" i="17" s="1"/>
  <c r="I15" i="17"/>
  <c r="J15" i="17" s="1"/>
  <c r="P15" i="17" s="1"/>
  <c r="R15" i="17" s="1"/>
  <c r="P14" i="17"/>
  <c r="R14" i="17" s="1"/>
  <c r="J14" i="17"/>
  <c r="I14" i="17"/>
  <c r="I13" i="17"/>
  <c r="J13" i="17" s="1"/>
  <c r="P13" i="17" s="1"/>
  <c r="R13" i="17" s="1"/>
  <c r="I12" i="17"/>
  <c r="J12" i="17" s="1"/>
  <c r="P12" i="17" s="1"/>
  <c r="R12" i="17" s="1"/>
  <c r="J11" i="17"/>
  <c r="P11" i="17" s="1"/>
  <c r="R11" i="17" s="1"/>
  <c r="I11" i="17"/>
  <c r="I10" i="17"/>
  <c r="J10" i="17" s="1"/>
  <c r="P10" i="17" s="1"/>
  <c r="R10" i="17" s="1"/>
  <c r="I9" i="17"/>
  <c r="J9" i="17" s="1"/>
  <c r="P9" i="17" s="1"/>
  <c r="R9" i="17" s="1"/>
  <c r="J8" i="17"/>
  <c r="P8" i="17" s="1"/>
  <c r="R8" i="17" s="1"/>
  <c r="I8" i="17"/>
  <c r="I7" i="17"/>
  <c r="J7" i="17" s="1"/>
  <c r="Q26" i="16"/>
  <c r="O26" i="16"/>
  <c r="M26" i="16"/>
  <c r="L26" i="16"/>
  <c r="K26" i="16"/>
  <c r="H26" i="16"/>
  <c r="F26" i="16"/>
  <c r="R24" i="16"/>
  <c r="J24" i="16"/>
  <c r="P24" i="16" s="1"/>
  <c r="I24" i="16"/>
  <c r="R23" i="16"/>
  <c r="I23" i="16"/>
  <c r="J23" i="16" s="1"/>
  <c r="P23" i="16" s="1"/>
  <c r="I22" i="16"/>
  <c r="J22" i="16" s="1"/>
  <c r="P22" i="16" s="1"/>
  <c r="I21" i="16"/>
  <c r="J21" i="16" s="1"/>
  <c r="P21" i="16" s="1"/>
  <c r="R21" i="16" s="1"/>
  <c r="J20" i="16"/>
  <c r="P20" i="16" s="1"/>
  <c r="R20" i="16" s="1"/>
  <c r="I20" i="16"/>
  <c r="I19" i="16"/>
  <c r="J19" i="16" s="1"/>
  <c r="P19" i="16" s="1"/>
  <c r="R19" i="16" s="1"/>
  <c r="I18" i="16"/>
  <c r="J18" i="16" s="1"/>
  <c r="P18" i="16" s="1"/>
  <c r="R18" i="16" s="1"/>
  <c r="J17" i="16"/>
  <c r="P17" i="16" s="1"/>
  <c r="R17" i="16" s="1"/>
  <c r="I17" i="16"/>
  <c r="I16" i="16"/>
  <c r="J16" i="16" s="1"/>
  <c r="P16" i="16" s="1"/>
  <c r="R16" i="16" s="1"/>
  <c r="I15" i="16"/>
  <c r="J15" i="16" s="1"/>
  <c r="P15" i="16" s="1"/>
  <c r="R15" i="16" s="1"/>
  <c r="J14" i="16"/>
  <c r="P14" i="16" s="1"/>
  <c r="R14" i="16" s="1"/>
  <c r="I14" i="16"/>
  <c r="I13" i="16"/>
  <c r="J13" i="16" s="1"/>
  <c r="P13" i="16" s="1"/>
  <c r="R13" i="16" s="1"/>
  <c r="I12" i="16"/>
  <c r="J12" i="16" s="1"/>
  <c r="P12" i="16" s="1"/>
  <c r="R12" i="16" s="1"/>
  <c r="J11" i="16"/>
  <c r="P11" i="16" s="1"/>
  <c r="R11" i="16" s="1"/>
  <c r="I11" i="16"/>
  <c r="I10" i="16"/>
  <c r="J10" i="16" s="1"/>
  <c r="P10" i="16" s="1"/>
  <c r="R10" i="16" s="1"/>
  <c r="I9" i="16"/>
  <c r="J9" i="16" s="1"/>
  <c r="P9" i="16" s="1"/>
  <c r="R9" i="16" s="1"/>
  <c r="I7" i="16"/>
  <c r="J7" i="16" s="1"/>
  <c r="M26" i="1"/>
  <c r="N26" i="1"/>
  <c r="O26" i="1"/>
  <c r="L26" i="1"/>
  <c r="K26" i="1"/>
  <c r="P8" i="1"/>
  <c r="R8" i="1" s="1"/>
  <c r="P10" i="1"/>
  <c r="R10" i="1" s="1"/>
  <c r="P14" i="1"/>
  <c r="R14" i="1" s="1"/>
  <c r="P15" i="1"/>
  <c r="R15" i="1" s="1"/>
  <c r="P17" i="1"/>
  <c r="P18" i="1"/>
  <c r="R18" i="1" s="1"/>
  <c r="P19" i="1"/>
  <c r="P21" i="1"/>
  <c r="R21" i="1" s="1"/>
  <c r="P22" i="1"/>
  <c r="P23" i="1"/>
  <c r="P24" i="1"/>
  <c r="I21" i="1"/>
  <c r="J21" i="1" s="1"/>
  <c r="I22" i="1"/>
  <c r="J22" i="1" s="1"/>
  <c r="Q26" i="1"/>
  <c r="H26" i="1"/>
  <c r="F26" i="1"/>
  <c r="R24" i="1"/>
  <c r="I24" i="1"/>
  <c r="J24" i="1" s="1"/>
  <c r="R23" i="1"/>
  <c r="I23" i="1"/>
  <c r="J23" i="1" s="1"/>
  <c r="I20" i="1"/>
  <c r="J20" i="1" s="1"/>
  <c r="P20" i="1" s="1"/>
  <c r="R20" i="1" s="1"/>
  <c r="R19" i="1"/>
  <c r="I19" i="1"/>
  <c r="J19" i="1" s="1"/>
  <c r="I18" i="1"/>
  <c r="J18" i="1" s="1"/>
  <c r="R17" i="1"/>
  <c r="I17" i="1"/>
  <c r="J17" i="1" s="1"/>
  <c r="I16" i="1"/>
  <c r="J16" i="1" s="1"/>
  <c r="P16" i="1" s="1"/>
  <c r="R16" i="1" s="1"/>
  <c r="I15" i="1"/>
  <c r="J15" i="1" s="1"/>
  <c r="I14" i="1"/>
  <c r="J14" i="1" s="1"/>
  <c r="I13" i="1"/>
  <c r="J13" i="1" s="1"/>
  <c r="P13" i="1" s="1"/>
  <c r="R13" i="1" s="1"/>
  <c r="I12" i="1"/>
  <c r="J12" i="1" s="1"/>
  <c r="P12" i="1" s="1"/>
  <c r="R12" i="1" s="1"/>
  <c r="I11" i="1"/>
  <c r="J11" i="1" s="1"/>
  <c r="P11" i="1" s="1"/>
  <c r="R11" i="1" s="1"/>
  <c r="I10" i="1"/>
  <c r="J10" i="1" s="1"/>
  <c r="I9" i="1"/>
  <c r="J9" i="1" s="1"/>
  <c r="P9" i="1" s="1"/>
  <c r="R9" i="1" s="1"/>
  <c r="I8" i="1"/>
  <c r="J8" i="1" s="1"/>
  <c r="I7" i="1"/>
  <c r="J7" i="1" s="1"/>
  <c r="P7" i="1" s="1"/>
  <c r="R7" i="1" s="1"/>
  <c r="J26" i="23" l="1"/>
  <c r="P7" i="23"/>
  <c r="J26" i="22"/>
  <c r="P7" i="22"/>
  <c r="P7" i="21"/>
  <c r="J26" i="21"/>
  <c r="P7" i="18"/>
  <c r="J26" i="18"/>
  <c r="P7" i="17"/>
  <c r="J26" i="17"/>
  <c r="P7" i="16"/>
  <c r="J26" i="16"/>
  <c r="R26" i="1"/>
  <c r="J26" i="1"/>
  <c r="P26" i="1"/>
  <c r="P26" i="23" l="1"/>
  <c r="R7" i="23"/>
  <c r="R26" i="23" s="1"/>
  <c r="P26" i="22"/>
  <c r="R7" i="22"/>
  <c r="R26" i="22" s="1"/>
  <c r="P26" i="21"/>
  <c r="R7" i="21"/>
  <c r="R26" i="21" s="1"/>
  <c r="P26" i="18"/>
  <c r="R7" i="18"/>
  <c r="R26" i="18" s="1"/>
  <c r="P26" i="17"/>
  <c r="R7" i="17"/>
  <c r="R26" i="17" s="1"/>
  <c r="P26" i="16"/>
  <c r="R7" i="16"/>
  <c r="R26" i="16" s="1"/>
</calcChain>
</file>

<file path=xl/sharedStrings.xml><?xml version="1.0" encoding="utf-8"?>
<sst xmlns="http://schemas.openxmlformats.org/spreadsheetml/2006/main" count="658" uniqueCount="97">
  <si>
    <t>TABLEAU DE SUIVI JOURNALIER — CAMIONS (PRODUIT FINI &amp; MATIÈRE PREMIÈRE)</t>
  </si>
  <si>
    <t>Date</t>
  </si>
  <si>
    <t>Prix gasoil / L (par défaut)</t>
  </si>
  <si>
    <t>Devise</t>
  </si>
  <si>
    <t>TND</t>
  </si>
  <si>
    <t>Saisir les valeurs en bleu. Les colonnes Montant global gasoil, Coût total et Résultat se calculent automatiquement.</t>
  </si>
  <si>
    <t>N°</t>
  </si>
  <si>
    <t>Matricule camion</t>
  </si>
  <si>
    <t>Nom chauffeur</t>
  </si>
  <si>
    <t>Type transport</t>
  </si>
  <si>
    <t>Destination</t>
  </si>
  <si>
    <t>Kilométrage du jour (km)</t>
  </si>
  <si>
    <t>Kilométrage global (km)</t>
  </si>
  <si>
    <t>Prix gasoil / L</t>
  </si>
  <si>
    <t>Montant global gasoil</t>
  </si>
  <si>
    <t>Charges fixes</t>
  </si>
  <si>
    <t>Montant assurance</t>
  </si>
  <si>
    <t>Montant taxe</t>
  </si>
  <si>
    <t>Charge personnel</t>
  </si>
  <si>
    <t>Coût total</t>
  </si>
  <si>
    <t>Prix livraison</t>
  </si>
  <si>
    <t>Résultat (livraison - coût)</t>
  </si>
  <si>
    <t>Remarques</t>
  </si>
  <si>
    <t>TOTAL JOUR</t>
  </si>
  <si>
    <t>Total km jour</t>
  </si>
  <si>
    <t>Total gasoil (L)</t>
  </si>
  <si>
    <t>Total montant gasoil</t>
  </si>
  <si>
    <t>Total coûts</t>
  </si>
  <si>
    <t>Total prix livraison</t>
  </si>
  <si>
    <t>Résultat global</t>
  </si>
  <si>
    <t>RÉCAPITULATIF MENSUEL (optionnel) — à alimenter via consolidation des feuilles journalières</t>
  </si>
  <si>
    <t>Mois</t>
  </si>
  <si>
    <t>Total km</t>
  </si>
  <si>
    <t>Total coût gasoil</t>
  </si>
  <si>
    <t>Total livraisons</t>
  </si>
  <si>
    <t>Résultat</t>
  </si>
  <si>
    <t>8565 TU 257</t>
  </si>
  <si>
    <t>8563 TU 257</t>
  </si>
  <si>
    <t>5305 TU 236</t>
  </si>
  <si>
    <t>924 TU 98</t>
  </si>
  <si>
    <t>6980 TU 101</t>
  </si>
  <si>
    <t>7775 TU 252</t>
  </si>
  <si>
    <t>4176 TU 250</t>
  </si>
  <si>
    <t>3380 TU 104</t>
  </si>
  <si>
    <t>446 TU 228</t>
  </si>
  <si>
    <t>7243 TU 75</t>
  </si>
  <si>
    <t>4188 TU 80</t>
  </si>
  <si>
    <t>2318 TU 155</t>
  </si>
  <si>
    <t>788 TU 99</t>
  </si>
  <si>
    <t>8564 TU 257</t>
  </si>
  <si>
    <t>8566 TU 257</t>
  </si>
  <si>
    <t xml:space="preserve">CHOKAIRI </t>
  </si>
  <si>
    <t>LASSAD CHATAOUI</t>
  </si>
  <si>
    <t>HAMZA</t>
  </si>
  <si>
    <t xml:space="preserve">IKRAMI </t>
  </si>
  <si>
    <t>ABDELBARI</t>
  </si>
  <si>
    <t>JAMIL</t>
  </si>
  <si>
    <t>HEDI</t>
  </si>
  <si>
    <t>MALEK</t>
  </si>
  <si>
    <t>LASSAD AMRI</t>
  </si>
  <si>
    <t>SAMI</t>
  </si>
  <si>
    <t>KAMEL CH</t>
  </si>
  <si>
    <t>KAMEL ZAY</t>
  </si>
  <si>
    <t>CHOKRI THAMER</t>
  </si>
  <si>
    <t>HSAN REBII</t>
  </si>
  <si>
    <t>PLATEAU</t>
  </si>
  <si>
    <t>BENNE</t>
  </si>
  <si>
    <t>Quantité  gasoil (L)</t>
  </si>
  <si>
    <t>Maintenance</t>
  </si>
  <si>
    <t>*</t>
  </si>
  <si>
    <t>TUNIS</t>
  </si>
  <si>
    <t>SOUSSE</t>
  </si>
  <si>
    <t>DJERBA</t>
  </si>
  <si>
    <t>KEBILI/GABES</t>
  </si>
  <si>
    <t>MEHDIA/TUNIS</t>
  </si>
  <si>
    <t>OUDHREF</t>
  </si>
  <si>
    <t>CHAGRA/ CHAGRA</t>
  </si>
  <si>
    <t>FAIEDH/SP/2SB</t>
  </si>
  <si>
    <t>VIDANGE</t>
  </si>
  <si>
    <t>totale charge</t>
  </si>
  <si>
    <t xml:space="preserve">totale assurance </t>
  </si>
  <si>
    <t>totale taxe</t>
  </si>
  <si>
    <t>totale maint</t>
  </si>
  <si>
    <t>totale charge pers</t>
  </si>
  <si>
    <t>GAFSSA</t>
  </si>
  <si>
    <t>ZARZIS</t>
  </si>
  <si>
    <t>ELHAMMA</t>
  </si>
  <si>
    <t>CHAGRA/SB</t>
  </si>
  <si>
    <t>GABES</t>
  </si>
  <si>
    <t>BENGUERDENE</t>
  </si>
  <si>
    <t>PARC</t>
  </si>
  <si>
    <t>CHAGRA/ SB</t>
  </si>
  <si>
    <t>GHANOUCH</t>
  </si>
  <si>
    <t>GABES/DJERBA</t>
  </si>
  <si>
    <t>MAHDIA</t>
  </si>
  <si>
    <t>SUDB/SB/HICHA/SP</t>
  </si>
  <si>
    <t>FAYEDH/FAYEDH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</si>
</sst>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0.0"/>
  </numFmts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name val="Calibri"/>
    </font>
    <font>
      <sz val="11"/>
      <color rgb="FF0000FF"/>
      <name val="Calibri"/>
    </font>
    <font>
      <b/>
      <sz val="11"/>
      <color rgb="FFFFFFFF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7EEF8"/>
      </patternFill>
    </fill>
    <fill>
      <patternFill patternType="solid">
        <fgColor rgb="FF2F5597"/>
      </patternFill>
    </fill>
    <fill>
      <patternFill patternType="solid">
        <fgColor rgb="FFFFF2CC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/>
      <bottom/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0" borderId="0" xfId="0" applyFont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40" fontId="5" fillId="0" borderId="1" xfId="0" applyNumberFormat="1" applyFont="1" applyBorder="1" applyAlignment="1">
      <alignment horizontal="right" vertical="center"/>
    </xf>
    <xf numFmtId="40" fontId="3" fillId="0" borderId="1" xfId="0" applyNumberFormat="1" applyFont="1" applyBorder="1" applyAlignment="1">
      <alignment horizontal="center" vertical="center"/>
    </xf>
    <xf numFmtId="0" fontId="0" fillId="0" borderId="2" xfId="0" applyBorder="1"/>
    <xf numFmtId="0" fontId="0" fillId="3" borderId="1" xfId="0" applyFill="1" applyBorder="1"/>
    <xf numFmtId="3" fontId="6" fillId="5" borderId="1" xfId="0" applyNumberFormat="1" applyFont="1" applyFill="1" applyBorder="1" applyAlignment="1">
      <alignment horizontal="right" vertical="center"/>
    </xf>
    <xf numFmtId="40" fontId="6" fillId="5" borderId="1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5" fontId="6" fillId="5" borderId="1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left" vertical="center" wrapText="1"/>
    </xf>
    <xf numFmtId="0" fontId="0" fillId="0" borderId="3" xfId="0" applyBorder="1"/>
    <xf numFmtId="0" fontId="0" fillId="0" borderId="4" xfId="0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/>
    </xf>
    <xf numFmtId="0" fontId="0" fillId="3" borderId="0" xfId="0" applyFill="1" applyAlignment="1">
      <alignment horizontal="left" vertical="center" wrapText="1"/>
    </xf>
    <xf numFmtId="0" fontId="7" fillId="3" borderId="0" xfId="0" applyFont="1" applyFill="1" applyAlignment="1">
      <alignment horizontal="center"/>
    </xf>
    <xf numFmtId="0" fontId="3" fillId="6" borderId="1" xfId="0" applyFont="1" applyFill="1" applyBorder="1" applyAlignment="1">
      <alignment horizontal="left" vertical="center" wrapText="1"/>
    </xf>
    <xf numFmtId="40" fontId="0" fillId="3" borderId="1" xfId="0" applyNumberFormat="1" applyFill="1" applyBorder="1"/>
    <xf numFmtId="0" fontId="2" fillId="3" borderId="5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7" borderId="0" xfId="0" applyFill="1"/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zoomScale="80" zoomScaleNormal="80" workbookViewId="0">
      <selection activeCell="H35" sqref="H35"/>
    </sheetView>
  </sheetViews>
  <sheetFormatPr baseColWidth="10" defaultColWidth="8.88671875" defaultRowHeight="14.4" x14ac:dyDescent="0.3"/>
  <cols>
    <col min="1" max="1" width="4" customWidth="1"/>
    <col min="2" max="2" width="16" customWidth="1"/>
    <col min="3" max="3" width="12" customWidth="1"/>
    <col min="4" max="5" width="18" customWidth="1"/>
    <col min="6" max="7" width="10" customWidth="1"/>
    <col min="8" max="8" width="20" customWidth="1"/>
    <col min="9" max="9" width="8" customWidth="1"/>
    <col min="10" max="10" width="18.109375" customWidth="1"/>
    <col min="11" max="11" width="13.6640625" customWidth="1"/>
    <col min="12" max="12" width="14" customWidth="1"/>
    <col min="13" max="14" width="12" customWidth="1"/>
    <col min="15" max="15" width="15" customWidth="1"/>
    <col min="16" max="17" width="12" customWidth="1"/>
    <col min="18" max="18" width="20" customWidth="1"/>
    <col min="19" max="19" width="18" customWidth="1"/>
  </cols>
  <sheetData>
    <row r="1" spans="1:19" ht="22.35" customHeight="1" x14ac:dyDescent="0.3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</row>
    <row r="2" spans="1:19" x14ac:dyDescent="0.3">
      <c r="B2" t="s">
        <v>69</v>
      </c>
    </row>
    <row r="3" spans="1:19" ht="14.4" customHeight="1" x14ac:dyDescent="0.3">
      <c r="A3" s="25" t="s">
        <v>1</v>
      </c>
      <c r="B3" s="23"/>
      <c r="C3" s="14">
        <v>46055</v>
      </c>
      <c r="D3" s="24" t="s">
        <v>2</v>
      </c>
      <c r="E3" s="23"/>
      <c r="F3" s="15">
        <v>2</v>
      </c>
      <c r="G3" s="25" t="s">
        <v>3</v>
      </c>
      <c r="H3" s="23"/>
      <c r="I3" s="1" t="s">
        <v>4</v>
      </c>
    </row>
    <row r="4" spans="1:19" ht="14.4" customHeight="1" x14ac:dyDescent="0.3">
      <c r="A4" s="26" t="s">
        <v>5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</row>
    <row r="5" spans="1:19" ht="9" customHeight="1" x14ac:dyDescent="0.3"/>
    <row r="6" spans="1:19" ht="40.799999999999997" customHeight="1" x14ac:dyDescent="0.3">
      <c r="A6" s="2" t="s">
        <v>6</v>
      </c>
      <c r="B6" s="2" t="s">
        <v>7</v>
      </c>
      <c r="C6" s="2" t="s">
        <v>8</v>
      </c>
      <c r="D6" s="2" t="s">
        <v>9</v>
      </c>
      <c r="E6" s="2" t="s">
        <v>10</v>
      </c>
      <c r="F6" s="2" t="s">
        <v>11</v>
      </c>
      <c r="G6" s="2" t="s">
        <v>12</v>
      </c>
      <c r="H6" s="2" t="s">
        <v>67</v>
      </c>
      <c r="I6" s="2" t="s">
        <v>13</v>
      </c>
      <c r="J6" s="2" t="s">
        <v>14</v>
      </c>
      <c r="K6" s="2" t="s">
        <v>15</v>
      </c>
      <c r="L6" s="2" t="s">
        <v>16</v>
      </c>
      <c r="M6" s="2" t="s">
        <v>17</v>
      </c>
      <c r="N6" s="2" t="s">
        <v>68</v>
      </c>
      <c r="O6" s="2" t="s">
        <v>18</v>
      </c>
      <c r="P6" s="2" t="s">
        <v>19</v>
      </c>
      <c r="Q6" s="2" t="s">
        <v>20</v>
      </c>
      <c r="R6" s="2" t="s">
        <v>21</v>
      </c>
      <c r="S6" s="2" t="s">
        <v>22</v>
      </c>
    </row>
    <row r="7" spans="1:19" x14ac:dyDescent="0.3">
      <c r="A7" s="3">
        <v>1</v>
      </c>
      <c r="B7" s="4" t="s">
        <v>36</v>
      </c>
      <c r="C7" s="4" t="s">
        <v>51</v>
      </c>
      <c r="D7" s="5" t="s">
        <v>65</v>
      </c>
      <c r="E7" s="4" t="s">
        <v>70</v>
      </c>
      <c r="F7" s="6">
        <v>800</v>
      </c>
      <c r="G7" s="6"/>
      <c r="H7" s="16">
        <v>240</v>
      </c>
      <c r="I7" s="17">
        <f t="shared" ref="I7:I24" si="0">$F$3</f>
        <v>2</v>
      </c>
      <c r="J7" s="7">
        <f t="shared" ref="J7:J24" si="1">IF(OR(H7="",I7=""),0,H7*I7)</f>
        <v>480</v>
      </c>
      <c r="K7" s="8">
        <v>400</v>
      </c>
      <c r="L7" s="8">
        <v>32</v>
      </c>
      <c r="M7" s="8">
        <v>20</v>
      </c>
      <c r="N7" s="8"/>
      <c r="O7" s="8">
        <v>80</v>
      </c>
      <c r="P7" s="7">
        <f>J7+N(K7)+N(L7)+N(M7)+N(O7)+N7</f>
        <v>1012</v>
      </c>
      <c r="Q7" s="8">
        <v>500</v>
      </c>
      <c r="R7" s="7">
        <f t="shared" ref="R7:R24" si="2">IF(Q7="","",N(Q7)-P7)</f>
        <v>-512</v>
      </c>
      <c r="S7" s="4"/>
    </row>
    <row r="8" spans="1:19" ht="28.8" x14ac:dyDescent="0.3">
      <c r="A8" s="3">
        <v>2</v>
      </c>
      <c r="B8" s="4" t="s">
        <v>37</v>
      </c>
      <c r="C8" s="4" t="s">
        <v>52</v>
      </c>
      <c r="D8" s="5" t="s">
        <v>65</v>
      </c>
      <c r="E8" s="4" t="s">
        <v>70</v>
      </c>
      <c r="F8" s="6">
        <v>800</v>
      </c>
      <c r="G8" s="6"/>
      <c r="H8" s="16">
        <v>240</v>
      </c>
      <c r="I8" s="17">
        <f t="shared" si="0"/>
        <v>2</v>
      </c>
      <c r="J8" s="7">
        <f t="shared" si="1"/>
        <v>480</v>
      </c>
      <c r="K8" s="8">
        <v>400</v>
      </c>
      <c r="L8" s="8">
        <v>32</v>
      </c>
      <c r="M8" s="8">
        <v>20</v>
      </c>
      <c r="N8" s="8">
        <v>1070</v>
      </c>
      <c r="O8" s="8">
        <v>80</v>
      </c>
      <c r="P8" s="7">
        <f t="shared" ref="P8:P24" si="3">J8+N(K8)+N(L8)+N(M8)+N(O8)+N8</f>
        <v>2082</v>
      </c>
      <c r="Q8" s="8">
        <v>500</v>
      </c>
      <c r="R8" s="7">
        <f t="shared" si="2"/>
        <v>-1582</v>
      </c>
      <c r="S8" s="4" t="s">
        <v>78</v>
      </c>
    </row>
    <row r="9" spans="1:19" x14ac:dyDescent="0.3">
      <c r="A9" s="3">
        <v>3</v>
      </c>
      <c r="B9" s="4" t="s">
        <v>38</v>
      </c>
      <c r="C9" s="4" t="s">
        <v>53</v>
      </c>
      <c r="D9" s="5" t="s">
        <v>65</v>
      </c>
      <c r="E9" s="4" t="s">
        <v>71</v>
      </c>
      <c r="F9" s="6">
        <v>300</v>
      </c>
      <c r="G9" s="6"/>
      <c r="H9" s="16">
        <v>120</v>
      </c>
      <c r="I9" s="17">
        <f t="shared" si="0"/>
        <v>2</v>
      </c>
      <c r="J9" s="7">
        <f t="shared" si="1"/>
        <v>240</v>
      </c>
      <c r="K9" s="8">
        <v>80</v>
      </c>
      <c r="L9" s="8">
        <v>20</v>
      </c>
      <c r="M9" s="8">
        <v>20</v>
      </c>
      <c r="N9" s="8"/>
      <c r="O9" s="8">
        <v>80</v>
      </c>
      <c r="P9" s="7">
        <f t="shared" si="3"/>
        <v>440</v>
      </c>
      <c r="Q9" s="8">
        <v>590</v>
      </c>
      <c r="R9" s="7">
        <f t="shared" si="2"/>
        <v>150</v>
      </c>
      <c r="S9" s="4"/>
    </row>
    <row r="10" spans="1:19" x14ac:dyDescent="0.3">
      <c r="A10" s="3">
        <v>4</v>
      </c>
      <c r="B10" s="4" t="s">
        <v>39</v>
      </c>
      <c r="C10" s="4" t="s">
        <v>54</v>
      </c>
      <c r="D10" s="5" t="s">
        <v>65</v>
      </c>
      <c r="E10" s="4" t="s">
        <v>72</v>
      </c>
      <c r="F10" s="6">
        <v>340</v>
      </c>
      <c r="G10" s="6"/>
      <c r="H10" s="16">
        <v>120</v>
      </c>
      <c r="I10" s="17">
        <f t="shared" si="0"/>
        <v>2</v>
      </c>
      <c r="J10" s="7">
        <f t="shared" si="1"/>
        <v>240</v>
      </c>
      <c r="K10" s="8">
        <v>80</v>
      </c>
      <c r="L10" s="8">
        <v>20</v>
      </c>
      <c r="M10" s="8">
        <v>20</v>
      </c>
      <c r="N10" s="8"/>
      <c r="O10" s="8">
        <v>80</v>
      </c>
      <c r="P10" s="7">
        <f t="shared" si="3"/>
        <v>440</v>
      </c>
      <c r="Q10" s="8">
        <v>590</v>
      </c>
      <c r="R10" s="7">
        <f t="shared" si="2"/>
        <v>150</v>
      </c>
      <c r="S10" s="4"/>
    </row>
    <row r="11" spans="1:19" x14ac:dyDescent="0.3">
      <c r="A11" s="3">
        <v>5</v>
      </c>
      <c r="B11" s="4" t="s">
        <v>40</v>
      </c>
      <c r="C11" s="4" t="s">
        <v>55</v>
      </c>
      <c r="D11" s="5" t="s">
        <v>65</v>
      </c>
      <c r="E11" s="4" t="s">
        <v>73</v>
      </c>
      <c r="F11" s="6">
        <v>434</v>
      </c>
      <c r="G11" s="6"/>
      <c r="H11" s="16">
        <v>125</v>
      </c>
      <c r="I11" s="17">
        <f t="shared" si="0"/>
        <v>2</v>
      </c>
      <c r="J11" s="7">
        <f t="shared" si="1"/>
        <v>250</v>
      </c>
      <c r="K11" s="8">
        <v>80</v>
      </c>
      <c r="L11" s="8">
        <v>20</v>
      </c>
      <c r="M11" s="8">
        <v>20</v>
      </c>
      <c r="N11" s="8"/>
      <c r="O11" s="8">
        <v>80</v>
      </c>
      <c r="P11" s="7">
        <f t="shared" si="3"/>
        <v>450</v>
      </c>
      <c r="Q11" s="8">
        <v>650</v>
      </c>
      <c r="R11" s="7">
        <f t="shared" si="2"/>
        <v>200</v>
      </c>
      <c r="S11" s="4"/>
    </row>
    <row r="12" spans="1:19" x14ac:dyDescent="0.3">
      <c r="A12" s="3">
        <v>6</v>
      </c>
      <c r="B12" s="4" t="s">
        <v>41</v>
      </c>
      <c r="C12" s="4" t="s">
        <v>56</v>
      </c>
      <c r="D12" s="5" t="s">
        <v>65</v>
      </c>
      <c r="E12" s="4" t="s">
        <v>74</v>
      </c>
      <c r="F12" s="6">
        <v>1220</v>
      </c>
      <c r="G12" s="6"/>
      <c r="H12" s="16">
        <v>360</v>
      </c>
      <c r="I12" s="17">
        <f t="shared" si="0"/>
        <v>2</v>
      </c>
      <c r="J12" s="7">
        <f t="shared" si="1"/>
        <v>720</v>
      </c>
      <c r="K12" s="8">
        <v>400</v>
      </c>
      <c r="L12" s="8">
        <v>20</v>
      </c>
      <c r="M12" s="8">
        <v>20</v>
      </c>
      <c r="N12" s="8"/>
      <c r="O12" s="8">
        <v>80</v>
      </c>
      <c r="P12" s="7">
        <f t="shared" si="3"/>
        <v>1240</v>
      </c>
      <c r="Q12" s="8">
        <v>1090</v>
      </c>
      <c r="R12" s="7">
        <f t="shared" si="2"/>
        <v>-150</v>
      </c>
      <c r="S12" s="4"/>
    </row>
    <row r="13" spans="1:19" x14ac:dyDescent="0.3">
      <c r="A13" s="3">
        <v>7</v>
      </c>
      <c r="B13" s="4" t="s">
        <v>42</v>
      </c>
      <c r="C13" s="4" t="s">
        <v>57</v>
      </c>
      <c r="D13" s="5" t="s">
        <v>65</v>
      </c>
      <c r="E13" s="4" t="s">
        <v>70</v>
      </c>
      <c r="F13" s="6">
        <v>800</v>
      </c>
      <c r="G13" s="6"/>
      <c r="H13" s="16">
        <v>240</v>
      </c>
      <c r="I13" s="17">
        <f t="shared" si="0"/>
        <v>2</v>
      </c>
      <c r="J13" s="7">
        <f t="shared" si="1"/>
        <v>480</v>
      </c>
      <c r="K13" s="8">
        <v>400</v>
      </c>
      <c r="L13" s="8">
        <v>32</v>
      </c>
      <c r="M13" s="8">
        <v>20</v>
      </c>
      <c r="N13" s="8"/>
      <c r="O13" s="8">
        <v>80</v>
      </c>
      <c r="P13" s="7">
        <f t="shared" si="3"/>
        <v>1012</v>
      </c>
      <c r="Q13" s="8">
        <v>500</v>
      </c>
      <c r="R13" s="7">
        <f t="shared" si="2"/>
        <v>-512</v>
      </c>
      <c r="S13" s="4"/>
    </row>
    <row r="14" spans="1:19" x14ac:dyDescent="0.3">
      <c r="A14" s="3">
        <v>8</v>
      </c>
      <c r="B14" s="4" t="s">
        <v>43</v>
      </c>
      <c r="C14" s="4" t="s">
        <v>58</v>
      </c>
      <c r="D14" s="5" t="s">
        <v>65</v>
      </c>
      <c r="E14" s="28"/>
      <c r="F14" s="6"/>
      <c r="G14" s="6"/>
      <c r="H14" s="16"/>
      <c r="I14" s="17">
        <f t="shared" si="0"/>
        <v>2</v>
      </c>
      <c r="J14" s="7">
        <f t="shared" si="1"/>
        <v>0</v>
      </c>
      <c r="K14" s="8">
        <v>80</v>
      </c>
      <c r="L14" s="8">
        <v>20</v>
      </c>
      <c r="M14" s="8">
        <v>20</v>
      </c>
      <c r="N14" s="8"/>
      <c r="O14" s="8">
        <v>80</v>
      </c>
      <c r="P14" s="7">
        <f t="shared" si="3"/>
        <v>200</v>
      </c>
      <c r="Q14" s="8">
        <v>0</v>
      </c>
      <c r="R14" s="7">
        <f t="shared" si="2"/>
        <v>-200</v>
      </c>
      <c r="S14" s="4"/>
    </row>
    <row r="15" spans="1:19" x14ac:dyDescent="0.3">
      <c r="A15" s="3">
        <v>9</v>
      </c>
      <c r="B15" s="4" t="s">
        <v>44</v>
      </c>
      <c r="C15" s="4"/>
      <c r="D15" s="5" t="s">
        <v>65</v>
      </c>
      <c r="E15" s="28"/>
      <c r="F15" s="6"/>
      <c r="G15" s="6"/>
      <c r="H15" s="16"/>
      <c r="I15" s="17">
        <f t="shared" si="0"/>
        <v>2</v>
      </c>
      <c r="J15" s="7">
        <f t="shared" si="1"/>
        <v>0</v>
      </c>
      <c r="K15" s="8">
        <v>80</v>
      </c>
      <c r="L15" s="8">
        <v>20</v>
      </c>
      <c r="M15" s="8">
        <v>20</v>
      </c>
      <c r="N15" s="8"/>
      <c r="O15" s="8">
        <v>80</v>
      </c>
      <c r="P15" s="7">
        <f t="shared" si="3"/>
        <v>200</v>
      </c>
      <c r="Q15" s="8">
        <v>0</v>
      </c>
      <c r="R15" s="7">
        <f t="shared" si="2"/>
        <v>-200</v>
      </c>
      <c r="S15" s="4"/>
    </row>
    <row r="16" spans="1:19" x14ac:dyDescent="0.3">
      <c r="A16" s="3">
        <v>10</v>
      </c>
      <c r="B16" s="4" t="s">
        <v>45</v>
      </c>
      <c r="C16" s="4" t="s">
        <v>59</v>
      </c>
      <c r="D16" s="5" t="s">
        <v>65</v>
      </c>
      <c r="E16" s="4" t="s">
        <v>75</v>
      </c>
      <c r="F16" s="6">
        <v>80</v>
      </c>
      <c r="G16" s="6"/>
      <c r="H16" s="16">
        <v>30</v>
      </c>
      <c r="I16" s="17">
        <f t="shared" si="0"/>
        <v>2</v>
      </c>
      <c r="J16" s="7">
        <f t="shared" si="1"/>
        <v>60</v>
      </c>
      <c r="K16" s="8">
        <v>80</v>
      </c>
      <c r="L16" s="8">
        <v>20</v>
      </c>
      <c r="M16" s="8">
        <v>20</v>
      </c>
      <c r="N16" s="8"/>
      <c r="O16" s="8">
        <v>80</v>
      </c>
      <c r="P16" s="7">
        <f t="shared" si="3"/>
        <v>260</v>
      </c>
      <c r="Q16" s="8">
        <v>200</v>
      </c>
      <c r="R16" s="7">
        <f t="shared" si="2"/>
        <v>-60</v>
      </c>
      <c r="S16" s="4"/>
    </row>
    <row r="17" spans="1:19" x14ac:dyDescent="0.3">
      <c r="A17" s="3">
        <v>11</v>
      </c>
      <c r="B17" s="4" t="s">
        <v>46</v>
      </c>
      <c r="C17" s="4" t="s">
        <v>60</v>
      </c>
      <c r="D17" s="5" t="s">
        <v>65</v>
      </c>
      <c r="E17" s="28"/>
      <c r="F17" s="6"/>
      <c r="G17" s="6"/>
      <c r="H17" s="16"/>
      <c r="I17" s="17">
        <f t="shared" si="0"/>
        <v>2</v>
      </c>
      <c r="J17" s="7">
        <f t="shared" si="1"/>
        <v>0</v>
      </c>
      <c r="K17" s="8">
        <v>80</v>
      </c>
      <c r="L17" s="8">
        <v>20</v>
      </c>
      <c r="M17" s="8">
        <v>20</v>
      </c>
      <c r="N17" s="8"/>
      <c r="O17" s="8">
        <v>80</v>
      </c>
      <c r="P17" s="7">
        <f t="shared" si="3"/>
        <v>200</v>
      </c>
      <c r="Q17" s="8">
        <v>0</v>
      </c>
      <c r="R17" s="7">
        <f t="shared" si="2"/>
        <v>-200</v>
      </c>
      <c r="S17" s="4"/>
    </row>
    <row r="18" spans="1:19" x14ac:dyDescent="0.3">
      <c r="A18" s="3">
        <v>12</v>
      </c>
      <c r="B18" s="4" t="s">
        <v>47</v>
      </c>
      <c r="C18" s="4" t="s">
        <v>61</v>
      </c>
      <c r="D18" s="5" t="s">
        <v>66</v>
      </c>
      <c r="E18" s="4" t="s">
        <v>76</v>
      </c>
      <c r="F18" s="6">
        <v>200</v>
      </c>
      <c r="G18" s="6"/>
      <c r="H18" s="16">
        <v>65</v>
      </c>
      <c r="I18" s="17">
        <f t="shared" si="0"/>
        <v>2</v>
      </c>
      <c r="J18" s="7">
        <f t="shared" si="1"/>
        <v>130</v>
      </c>
      <c r="K18" s="8">
        <v>80</v>
      </c>
      <c r="L18" s="8">
        <v>20</v>
      </c>
      <c r="M18" s="8">
        <v>20</v>
      </c>
      <c r="N18" s="8"/>
      <c r="O18" s="8">
        <v>80</v>
      </c>
      <c r="P18" s="7">
        <f t="shared" si="3"/>
        <v>330</v>
      </c>
      <c r="Q18" s="8">
        <v>500</v>
      </c>
      <c r="R18" s="7">
        <f t="shared" si="2"/>
        <v>170</v>
      </c>
      <c r="S18" s="4"/>
    </row>
    <row r="19" spans="1:19" x14ac:dyDescent="0.3">
      <c r="A19" s="3">
        <v>13</v>
      </c>
      <c r="B19" s="4" t="s">
        <v>48</v>
      </c>
      <c r="C19" s="4" t="s">
        <v>62</v>
      </c>
      <c r="D19" s="5" t="s">
        <v>66</v>
      </c>
      <c r="E19" s="28"/>
      <c r="F19" s="6"/>
      <c r="G19" s="6"/>
      <c r="H19" s="16"/>
      <c r="I19" s="17">
        <f t="shared" si="0"/>
        <v>2</v>
      </c>
      <c r="J19" s="7">
        <f t="shared" si="1"/>
        <v>0</v>
      </c>
      <c r="K19" s="8">
        <v>80</v>
      </c>
      <c r="L19" s="8">
        <v>20</v>
      </c>
      <c r="M19" s="8">
        <v>20</v>
      </c>
      <c r="N19" s="8"/>
      <c r="O19" s="8">
        <v>80</v>
      </c>
      <c r="P19" s="7">
        <f t="shared" si="3"/>
        <v>200</v>
      </c>
      <c r="Q19" s="8">
        <v>0</v>
      </c>
      <c r="R19" s="7">
        <f t="shared" si="2"/>
        <v>-200</v>
      </c>
      <c r="S19" s="4"/>
    </row>
    <row r="20" spans="1:19" ht="28.8" x14ac:dyDescent="0.3">
      <c r="A20" s="3">
        <v>14</v>
      </c>
      <c r="B20" s="4" t="s">
        <v>49</v>
      </c>
      <c r="C20" s="4" t="s">
        <v>63</v>
      </c>
      <c r="D20" s="5" t="s">
        <v>66</v>
      </c>
      <c r="E20" s="4" t="s">
        <v>77</v>
      </c>
      <c r="F20" s="6">
        <v>400</v>
      </c>
      <c r="G20" s="6"/>
      <c r="H20" s="16">
        <v>135</v>
      </c>
      <c r="I20" s="17">
        <f t="shared" si="0"/>
        <v>2</v>
      </c>
      <c r="J20" s="7">
        <f t="shared" si="1"/>
        <v>270</v>
      </c>
      <c r="K20" s="8">
        <v>400</v>
      </c>
      <c r="L20" s="8">
        <v>32</v>
      </c>
      <c r="M20" s="8">
        <v>20</v>
      </c>
      <c r="N20" s="8"/>
      <c r="O20" s="8">
        <v>80</v>
      </c>
      <c r="P20" s="7">
        <f t="shared" si="3"/>
        <v>802</v>
      </c>
      <c r="Q20" s="8">
        <v>980</v>
      </c>
      <c r="R20" s="7">
        <f t="shared" si="2"/>
        <v>178</v>
      </c>
      <c r="S20" s="4"/>
    </row>
    <row r="21" spans="1:19" x14ac:dyDescent="0.3">
      <c r="A21" s="3">
        <v>15</v>
      </c>
      <c r="B21" s="4" t="s">
        <v>50</v>
      </c>
      <c r="C21" s="4" t="s">
        <v>64</v>
      </c>
      <c r="D21" s="5" t="s">
        <v>66</v>
      </c>
      <c r="E21" s="4" t="s">
        <v>77</v>
      </c>
      <c r="F21" s="6">
        <v>400</v>
      </c>
      <c r="G21" s="6"/>
      <c r="H21" s="16">
        <v>135</v>
      </c>
      <c r="I21" s="17">
        <f t="shared" si="0"/>
        <v>2</v>
      </c>
      <c r="J21" s="7">
        <f t="shared" si="1"/>
        <v>270</v>
      </c>
      <c r="K21" s="8">
        <v>400</v>
      </c>
      <c r="L21" s="8">
        <v>32</v>
      </c>
      <c r="M21" s="8">
        <v>20</v>
      </c>
      <c r="N21" s="8"/>
      <c r="O21" s="8">
        <v>80</v>
      </c>
      <c r="P21" s="7">
        <f t="shared" si="3"/>
        <v>802</v>
      </c>
      <c r="Q21" s="8">
        <v>980</v>
      </c>
      <c r="R21" s="7">
        <f t="shared" si="2"/>
        <v>178</v>
      </c>
      <c r="S21" s="4"/>
    </row>
    <row r="22" spans="1:19" x14ac:dyDescent="0.3">
      <c r="A22" s="3">
        <v>16</v>
      </c>
      <c r="B22" s="4"/>
      <c r="C22" s="4"/>
      <c r="D22" s="5"/>
      <c r="E22" s="4"/>
      <c r="F22" s="6"/>
      <c r="G22" s="6"/>
      <c r="H22" s="16"/>
      <c r="I22" s="17">
        <f t="shared" si="0"/>
        <v>2</v>
      </c>
      <c r="J22" s="7">
        <f t="shared" si="1"/>
        <v>0</v>
      </c>
      <c r="K22" s="8"/>
      <c r="L22" s="8">
        <v>0</v>
      </c>
      <c r="M22" s="8">
        <v>0</v>
      </c>
      <c r="N22" s="8"/>
      <c r="O22" s="8">
        <v>0</v>
      </c>
      <c r="P22" s="7">
        <f t="shared" si="3"/>
        <v>0</v>
      </c>
      <c r="Q22" s="8"/>
      <c r="R22" s="7"/>
      <c r="S22" s="4"/>
    </row>
    <row r="23" spans="1:19" x14ac:dyDescent="0.3">
      <c r="A23" s="3">
        <v>17</v>
      </c>
      <c r="B23" s="4"/>
      <c r="C23" s="4"/>
      <c r="D23" s="5"/>
      <c r="E23" s="4"/>
      <c r="F23" s="6"/>
      <c r="G23" s="6"/>
      <c r="H23" s="16"/>
      <c r="I23" s="17">
        <f t="shared" si="0"/>
        <v>2</v>
      </c>
      <c r="J23" s="7">
        <f t="shared" si="1"/>
        <v>0</v>
      </c>
      <c r="K23" s="8"/>
      <c r="L23" s="8">
        <v>0</v>
      </c>
      <c r="M23" s="8">
        <v>0</v>
      </c>
      <c r="N23" s="8"/>
      <c r="O23" s="8">
        <v>0</v>
      </c>
      <c r="P23" s="7">
        <f t="shared" si="3"/>
        <v>0</v>
      </c>
      <c r="Q23" s="8"/>
      <c r="R23" s="7" t="str">
        <f t="shared" si="2"/>
        <v/>
      </c>
      <c r="S23" s="4"/>
    </row>
    <row r="24" spans="1:19" x14ac:dyDescent="0.3">
      <c r="A24" s="3">
        <v>18</v>
      </c>
      <c r="B24" s="4"/>
      <c r="C24" s="4"/>
      <c r="D24" s="5"/>
      <c r="E24" s="4"/>
      <c r="F24" s="6"/>
      <c r="G24" s="6"/>
      <c r="H24" s="16"/>
      <c r="I24" s="17">
        <f t="shared" si="0"/>
        <v>2</v>
      </c>
      <c r="J24" s="7">
        <f t="shared" si="1"/>
        <v>0</v>
      </c>
      <c r="K24" s="8"/>
      <c r="L24" s="8">
        <v>0</v>
      </c>
      <c r="M24" s="8">
        <v>0</v>
      </c>
      <c r="N24" s="8"/>
      <c r="O24" s="8">
        <v>0</v>
      </c>
      <c r="P24" s="7">
        <f t="shared" si="3"/>
        <v>0</v>
      </c>
      <c r="Q24" s="8"/>
      <c r="R24" s="7" t="str">
        <f t="shared" si="2"/>
        <v/>
      </c>
      <c r="S24" s="4"/>
    </row>
    <row r="25" spans="1:19" ht="4.8" customHeight="1" x14ac:dyDescent="0.3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19" ht="16.05" customHeight="1" x14ac:dyDescent="0.3">
      <c r="A26" s="19" t="s">
        <v>23</v>
      </c>
      <c r="B26" s="20"/>
      <c r="C26" s="20"/>
      <c r="D26" s="20"/>
      <c r="E26" s="21"/>
      <c r="F26" s="11">
        <f>SUM(F7:F24)</f>
        <v>5774</v>
      </c>
      <c r="G26" s="10"/>
      <c r="H26" s="18">
        <f>SUM(H7:H24)</f>
        <v>1810</v>
      </c>
      <c r="I26" s="10"/>
      <c r="J26" s="12">
        <f>SUM(J7:J24)</f>
        <v>3620</v>
      </c>
      <c r="K26" s="29">
        <f>SUM(K7:K21)</f>
        <v>3120</v>
      </c>
      <c r="L26" s="29">
        <f>SUM(L7:L21)</f>
        <v>360</v>
      </c>
      <c r="M26" s="29">
        <f t="shared" ref="M26:O26" si="4">SUM(M7:M21)</f>
        <v>300</v>
      </c>
      <c r="N26" s="29">
        <f t="shared" si="4"/>
        <v>1070</v>
      </c>
      <c r="O26" s="29">
        <f t="shared" si="4"/>
        <v>1200</v>
      </c>
      <c r="P26" s="12">
        <f>SUM(P7:P24)</f>
        <v>9670</v>
      </c>
      <c r="Q26" s="12">
        <f>SUM(Q7:Q24)</f>
        <v>7080</v>
      </c>
      <c r="R26" s="12">
        <f>SUM(R7:R24)</f>
        <v>-2590</v>
      </c>
      <c r="S26" s="10"/>
    </row>
    <row r="27" spans="1:19" ht="24" customHeight="1" x14ac:dyDescent="0.3">
      <c r="F27" s="13" t="s">
        <v>24</v>
      </c>
      <c r="H27" s="13" t="s">
        <v>25</v>
      </c>
      <c r="J27" s="13" t="s">
        <v>26</v>
      </c>
      <c r="K27" s="32" t="s">
        <v>79</v>
      </c>
      <c r="L27" s="30" t="s">
        <v>80</v>
      </c>
      <c r="M27" s="32" t="s">
        <v>81</v>
      </c>
      <c r="N27" s="31" t="s">
        <v>82</v>
      </c>
      <c r="O27" s="32" t="s">
        <v>83</v>
      </c>
      <c r="P27" s="13" t="s">
        <v>27</v>
      </c>
      <c r="Q27" s="13" t="s">
        <v>28</v>
      </c>
      <c r="R27" s="13" t="s">
        <v>29</v>
      </c>
    </row>
  </sheetData>
  <mergeCells count="6">
    <mergeCell ref="A26:E26"/>
    <mergeCell ref="A1:S1"/>
    <mergeCell ref="D3:E3"/>
    <mergeCell ref="A3:B3"/>
    <mergeCell ref="G3:H3"/>
    <mergeCell ref="A4:S4"/>
  </mergeCells>
  <conditionalFormatting sqref="R7:R24">
    <cfRule type="cellIs" dxfId="6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zoomScale="80" zoomScaleNormal="80" workbookViewId="0">
      <selection activeCell="J35" sqref="J35"/>
    </sheetView>
  </sheetViews>
  <sheetFormatPr baseColWidth="10" defaultColWidth="8.88671875" defaultRowHeight="14.4" x14ac:dyDescent="0.3"/>
  <cols>
    <col min="1" max="1" width="4" customWidth="1"/>
    <col min="2" max="2" width="16" customWidth="1"/>
    <col min="3" max="3" width="12" customWidth="1"/>
    <col min="4" max="5" width="18" customWidth="1"/>
    <col min="6" max="7" width="10" customWidth="1"/>
    <col min="8" max="8" width="20" customWidth="1"/>
    <col min="9" max="9" width="8" customWidth="1"/>
    <col min="10" max="10" width="18.109375" customWidth="1"/>
    <col min="11" max="11" width="13.6640625" customWidth="1"/>
    <col min="12" max="12" width="14" customWidth="1"/>
    <col min="13" max="14" width="12" customWidth="1"/>
    <col min="15" max="15" width="15" customWidth="1"/>
    <col min="16" max="17" width="12" customWidth="1"/>
    <col min="18" max="18" width="20" customWidth="1"/>
    <col min="19" max="19" width="18" customWidth="1"/>
  </cols>
  <sheetData>
    <row r="1" spans="1:19" ht="22.35" customHeight="1" x14ac:dyDescent="0.3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</row>
    <row r="2" spans="1:19" x14ac:dyDescent="0.3">
      <c r="B2" t="s">
        <v>69</v>
      </c>
    </row>
    <row r="3" spans="1:19" ht="14.4" customHeight="1" x14ac:dyDescent="0.3">
      <c r="A3" s="25" t="s">
        <v>1</v>
      </c>
      <c r="B3" s="23"/>
      <c r="C3" s="14">
        <v>46056</v>
      </c>
      <c r="D3" s="24" t="s">
        <v>2</v>
      </c>
      <c r="E3" s="23"/>
      <c r="F3" s="15">
        <v>2</v>
      </c>
      <c r="G3" s="25" t="s">
        <v>3</v>
      </c>
      <c r="H3" s="23"/>
      <c r="I3" s="1" t="s">
        <v>4</v>
      </c>
    </row>
    <row r="4" spans="1:19" ht="14.4" customHeight="1" x14ac:dyDescent="0.3">
      <c r="A4" s="26" t="s">
        <v>5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</row>
    <row r="5" spans="1:19" ht="9" customHeight="1" x14ac:dyDescent="0.3"/>
    <row r="6" spans="1:19" ht="40.799999999999997" customHeight="1" x14ac:dyDescent="0.3">
      <c r="A6" s="2" t="s">
        <v>6</v>
      </c>
      <c r="B6" s="2" t="s">
        <v>7</v>
      </c>
      <c r="C6" s="2" t="s">
        <v>8</v>
      </c>
      <c r="D6" s="2" t="s">
        <v>9</v>
      </c>
      <c r="E6" s="2" t="s">
        <v>10</v>
      </c>
      <c r="F6" s="2" t="s">
        <v>11</v>
      </c>
      <c r="G6" s="2" t="s">
        <v>12</v>
      </c>
      <c r="H6" s="2" t="s">
        <v>67</v>
      </c>
      <c r="I6" s="2" t="s">
        <v>13</v>
      </c>
      <c r="J6" s="2" t="s">
        <v>14</v>
      </c>
      <c r="K6" s="2" t="s">
        <v>15</v>
      </c>
      <c r="L6" s="2" t="s">
        <v>16</v>
      </c>
      <c r="M6" s="2" t="s">
        <v>17</v>
      </c>
      <c r="N6" s="2" t="s">
        <v>68</v>
      </c>
      <c r="O6" s="2" t="s">
        <v>18</v>
      </c>
      <c r="P6" s="2" t="s">
        <v>19</v>
      </c>
      <c r="Q6" s="2" t="s">
        <v>20</v>
      </c>
      <c r="R6" s="2" t="s">
        <v>21</v>
      </c>
      <c r="S6" s="2" t="s">
        <v>22</v>
      </c>
    </row>
    <row r="7" spans="1:19" x14ac:dyDescent="0.3">
      <c r="A7" s="3">
        <v>1</v>
      </c>
      <c r="B7" s="4" t="s">
        <v>36</v>
      </c>
      <c r="C7" s="4" t="s">
        <v>51</v>
      </c>
      <c r="D7" s="5" t="s">
        <v>65</v>
      </c>
      <c r="E7" s="4"/>
      <c r="F7" s="6">
        <v>0</v>
      </c>
      <c r="G7" s="6"/>
      <c r="H7" s="16">
        <v>0</v>
      </c>
      <c r="I7" s="17">
        <f t="shared" ref="I7:I24" si="0">$F$3</f>
        <v>2</v>
      </c>
      <c r="J7" s="7">
        <f t="shared" ref="J7:J24" si="1">IF(OR(H7="",I7=""),0,H7*I7)</f>
        <v>0</v>
      </c>
      <c r="K7" s="8">
        <v>400</v>
      </c>
      <c r="L7" s="8">
        <v>32</v>
      </c>
      <c r="M7" s="8">
        <v>20</v>
      </c>
      <c r="N7" s="8"/>
      <c r="O7" s="8">
        <v>80</v>
      </c>
      <c r="P7" s="7">
        <f>J7+N(K7)+N(L7)+N(M7)+N(O7)+N7</f>
        <v>532</v>
      </c>
      <c r="Q7" s="8">
        <v>0</v>
      </c>
      <c r="R7" s="7">
        <f t="shared" ref="R7:R24" si="2">IF(Q7="","",N(Q7)-P7)</f>
        <v>-532</v>
      </c>
      <c r="S7" s="4"/>
    </row>
    <row r="8" spans="1:19" ht="28.8" x14ac:dyDescent="0.3">
      <c r="A8" s="3">
        <v>2</v>
      </c>
      <c r="B8" s="4" t="s">
        <v>37</v>
      </c>
      <c r="C8" s="4" t="s">
        <v>52</v>
      </c>
      <c r="D8" s="5" t="s">
        <v>65</v>
      </c>
      <c r="E8" s="4" t="s">
        <v>84</v>
      </c>
      <c r="F8" s="6">
        <v>300</v>
      </c>
      <c r="G8" s="6"/>
      <c r="H8" s="16">
        <v>90</v>
      </c>
      <c r="I8" s="17">
        <f t="shared" si="0"/>
        <v>2</v>
      </c>
      <c r="J8" s="7">
        <f t="shared" si="1"/>
        <v>180</v>
      </c>
      <c r="K8" s="8">
        <v>400</v>
      </c>
      <c r="L8" s="8">
        <v>32</v>
      </c>
      <c r="M8" s="8">
        <v>20</v>
      </c>
      <c r="N8" s="8">
        <v>0</v>
      </c>
      <c r="O8" s="8">
        <v>80</v>
      </c>
      <c r="P8" s="7">
        <f t="shared" ref="P8:P24" si="3">J8+N(K8)+N(L8)+N(M8)+N(O8)+N8</f>
        <v>712</v>
      </c>
      <c r="Q8" s="8">
        <v>600</v>
      </c>
      <c r="R8" s="7">
        <f t="shared" si="2"/>
        <v>-112</v>
      </c>
      <c r="S8" s="4"/>
    </row>
    <row r="9" spans="1:19" x14ac:dyDescent="0.3">
      <c r="A9" s="3">
        <v>3</v>
      </c>
      <c r="B9" s="4" t="s">
        <v>38</v>
      </c>
      <c r="C9" s="4" t="s">
        <v>53</v>
      </c>
      <c r="D9" s="5" t="s">
        <v>65</v>
      </c>
      <c r="E9" s="4" t="s">
        <v>85</v>
      </c>
      <c r="F9" s="6">
        <v>414</v>
      </c>
      <c r="G9" s="6"/>
      <c r="H9" s="16">
        <v>145</v>
      </c>
      <c r="I9" s="17">
        <f t="shared" si="0"/>
        <v>2</v>
      </c>
      <c r="J9" s="7">
        <f t="shared" si="1"/>
        <v>290</v>
      </c>
      <c r="K9" s="8">
        <v>80</v>
      </c>
      <c r="L9" s="8">
        <v>20</v>
      </c>
      <c r="M9" s="8">
        <v>20</v>
      </c>
      <c r="N9" s="8"/>
      <c r="O9" s="8">
        <v>80</v>
      </c>
      <c r="P9" s="7">
        <f t="shared" si="3"/>
        <v>490</v>
      </c>
      <c r="Q9" s="8">
        <v>524</v>
      </c>
      <c r="R9" s="7">
        <f t="shared" si="2"/>
        <v>34</v>
      </c>
      <c r="S9" s="4"/>
    </row>
    <row r="10" spans="1:19" x14ac:dyDescent="0.3">
      <c r="A10" s="3">
        <v>4</v>
      </c>
      <c r="B10" s="4" t="s">
        <v>39</v>
      </c>
      <c r="C10" s="4" t="s">
        <v>54</v>
      </c>
      <c r="D10" s="5" t="s">
        <v>65</v>
      </c>
      <c r="E10" s="4" t="s">
        <v>72</v>
      </c>
      <c r="F10" s="6">
        <v>380</v>
      </c>
      <c r="G10" s="6"/>
      <c r="H10" s="16">
        <v>120</v>
      </c>
      <c r="I10" s="17">
        <f t="shared" si="0"/>
        <v>2</v>
      </c>
      <c r="J10" s="7">
        <f t="shared" si="1"/>
        <v>240</v>
      </c>
      <c r="K10" s="8">
        <v>80</v>
      </c>
      <c r="L10" s="8">
        <v>20</v>
      </c>
      <c r="M10" s="8">
        <v>20</v>
      </c>
      <c r="N10" s="8"/>
      <c r="O10" s="8">
        <v>80</v>
      </c>
      <c r="P10" s="7">
        <f t="shared" si="3"/>
        <v>440</v>
      </c>
      <c r="Q10" s="8">
        <v>553</v>
      </c>
      <c r="R10" s="7">
        <f t="shared" si="2"/>
        <v>113</v>
      </c>
      <c r="S10" s="4"/>
    </row>
    <row r="11" spans="1:19" x14ac:dyDescent="0.3">
      <c r="A11" s="3">
        <v>5</v>
      </c>
      <c r="B11" s="4" t="s">
        <v>40</v>
      </c>
      <c r="C11" s="4" t="s">
        <v>55</v>
      </c>
      <c r="D11" s="5" t="s">
        <v>65</v>
      </c>
      <c r="E11" s="4" t="s">
        <v>86</v>
      </c>
      <c r="F11" s="6">
        <v>180</v>
      </c>
      <c r="G11" s="6"/>
      <c r="H11" s="16">
        <v>40</v>
      </c>
      <c r="I11" s="17">
        <f t="shared" si="0"/>
        <v>2</v>
      </c>
      <c r="J11" s="7">
        <f t="shared" si="1"/>
        <v>80</v>
      </c>
      <c r="K11" s="8">
        <v>80</v>
      </c>
      <c r="L11" s="8">
        <v>20</v>
      </c>
      <c r="M11" s="8">
        <v>20</v>
      </c>
      <c r="N11" s="8"/>
      <c r="O11" s="8">
        <v>80</v>
      </c>
      <c r="P11" s="7">
        <f t="shared" si="3"/>
        <v>280</v>
      </c>
      <c r="Q11" s="8">
        <v>234</v>
      </c>
      <c r="R11" s="7">
        <f t="shared" si="2"/>
        <v>-46</v>
      </c>
      <c r="S11" s="4"/>
    </row>
    <row r="12" spans="1:19" x14ac:dyDescent="0.3">
      <c r="A12" s="3">
        <v>6</v>
      </c>
      <c r="B12" s="4" t="s">
        <v>41</v>
      </c>
      <c r="C12" s="4" t="s">
        <v>56</v>
      </c>
      <c r="D12" s="5" t="s">
        <v>65</v>
      </c>
      <c r="E12" s="4"/>
      <c r="F12" s="6"/>
      <c r="G12" s="6"/>
      <c r="H12" s="16"/>
      <c r="I12" s="17">
        <f t="shared" si="0"/>
        <v>2</v>
      </c>
      <c r="J12" s="7">
        <f t="shared" si="1"/>
        <v>0</v>
      </c>
      <c r="K12" s="8">
        <v>400</v>
      </c>
      <c r="L12" s="8">
        <v>20</v>
      </c>
      <c r="M12" s="8">
        <v>20</v>
      </c>
      <c r="N12" s="8"/>
      <c r="O12" s="8">
        <v>80</v>
      </c>
      <c r="P12" s="7">
        <f t="shared" si="3"/>
        <v>520</v>
      </c>
      <c r="Q12" s="8">
        <v>1090</v>
      </c>
      <c r="R12" s="7">
        <f t="shared" si="2"/>
        <v>570</v>
      </c>
      <c r="S12" s="4"/>
    </row>
    <row r="13" spans="1:19" x14ac:dyDescent="0.3">
      <c r="A13" s="3">
        <v>7</v>
      </c>
      <c r="B13" s="4" t="s">
        <v>42</v>
      </c>
      <c r="C13" s="4" t="s">
        <v>57</v>
      </c>
      <c r="D13" s="5" t="s">
        <v>65</v>
      </c>
      <c r="E13" s="4"/>
      <c r="F13" s="6"/>
      <c r="G13" s="6"/>
      <c r="H13" s="16"/>
      <c r="I13" s="17">
        <f t="shared" si="0"/>
        <v>2</v>
      </c>
      <c r="J13" s="7">
        <f t="shared" si="1"/>
        <v>0</v>
      </c>
      <c r="K13" s="8">
        <v>400</v>
      </c>
      <c r="L13" s="8">
        <v>32</v>
      </c>
      <c r="M13" s="8">
        <v>20</v>
      </c>
      <c r="N13" s="8"/>
      <c r="O13" s="8">
        <v>80</v>
      </c>
      <c r="P13" s="7">
        <f t="shared" si="3"/>
        <v>532</v>
      </c>
      <c r="Q13" s="8">
        <v>0</v>
      </c>
      <c r="R13" s="7">
        <f t="shared" si="2"/>
        <v>-532</v>
      </c>
      <c r="S13" s="4"/>
    </row>
    <row r="14" spans="1:19" x14ac:dyDescent="0.3">
      <c r="A14" s="3">
        <v>8</v>
      </c>
      <c r="B14" s="4" t="s">
        <v>43</v>
      </c>
      <c r="C14" s="4" t="s">
        <v>58</v>
      </c>
      <c r="D14" s="5" t="s">
        <v>65</v>
      </c>
      <c r="E14" s="28"/>
      <c r="F14" s="6"/>
      <c r="G14" s="6"/>
      <c r="H14" s="16"/>
      <c r="I14" s="17">
        <f t="shared" si="0"/>
        <v>2</v>
      </c>
      <c r="J14" s="7">
        <f t="shared" si="1"/>
        <v>0</v>
      </c>
      <c r="K14" s="8">
        <v>80</v>
      </c>
      <c r="L14" s="8">
        <v>20</v>
      </c>
      <c r="M14" s="8">
        <v>20</v>
      </c>
      <c r="N14" s="8"/>
      <c r="O14" s="8">
        <v>80</v>
      </c>
      <c r="P14" s="7">
        <f t="shared" si="3"/>
        <v>200</v>
      </c>
      <c r="Q14" s="8">
        <v>0</v>
      </c>
      <c r="R14" s="7">
        <f t="shared" si="2"/>
        <v>-200</v>
      </c>
      <c r="S14" s="4"/>
    </row>
    <row r="15" spans="1:19" x14ac:dyDescent="0.3">
      <c r="A15" s="3">
        <v>9</v>
      </c>
      <c r="B15" s="4" t="s">
        <v>44</v>
      </c>
      <c r="C15" s="4"/>
      <c r="D15" s="5" t="s">
        <v>65</v>
      </c>
      <c r="E15" s="28"/>
      <c r="F15" s="6"/>
      <c r="G15" s="6"/>
      <c r="H15" s="16"/>
      <c r="I15" s="17">
        <f t="shared" si="0"/>
        <v>2</v>
      </c>
      <c r="J15" s="7">
        <f t="shared" si="1"/>
        <v>0</v>
      </c>
      <c r="K15" s="8">
        <v>80</v>
      </c>
      <c r="L15" s="8">
        <v>20</v>
      </c>
      <c r="M15" s="8">
        <v>20</v>
      </c>
      <c r="N15" s="8"/>
      <c r="O15" s="8">
        <v>80</v>
      </c>
      <c r="P15" s="7">
        <f t="shared" si="3"/>
        <v>200</v>
      </c>
      <c r="Q15" s="8">
        <v>0</v>
      </c>
      <c r="R15" s="7">
        <f t="shared" si="2"/>
        <v>-200</v>
      </c>
      <c r="S15" s="4"/>
    </row>
    <row r="16" spans="1:19" x14ac:dyDescent="0.3">
      <c r="A16" s="3">
        <v>10</v>
      </c>
      <c r="B16" s="4" t="s">
        <v>45</v>
      </c>
      <c r="C16" s="4" t="s">
        <v>59</v>
      </c>
      <c r="D16" s="5" t="s">
        <v>65</v>
      </c>
      <c r="E16" s="4" t="s">
        <v>75</v>
      </c>
      <c r="F16" s="6">
        <v>80</v>
      </c>
      <c r="G16" s="6"/>
      <c r="H16" s="16">
        <v>30</v>
      </c>
      <c r="I16" s="17">
        <f t="shared" si="0"/>
        <v>2</v>
      </c>
      <c r="J16" s="7">
        <f t="shared" si="1"/>
        <v>60</v>
      </c>
      <c r="K16" s="8">
        <v>80</v>
      </c>
      <c r="L16" s="8">
        <v>20</v>
      </c>
      <c r="M16" s="8">
        <v>20</v>
      </c>
      <c r="N16" s="8"/>
      <c r="O16" s="8">
        <v>80</v>
      </c>
      <c r="P16" s="7">
        <f t="shared" si="3"/>
        <v>260</v>
      </c>
      <c r="Q16" s="8">
        <v>200</v>
      </c>
      <c r="R16" s="7">
        <f t="shared" si="2"/>
        <v>-60</v>
      </c>
      <c r="S16" s="4"/>
    </row>
    <row r="17" spans="1:19" x14ac:dyDescent="0.3">
      <c r="A17" s="3">
        <v>11</v>
      </c>
      <c r="B17" s="4" t="s">
        <v>46</v>
      </c>
      <c r="C17" s="4" t="s">
        <v>60</v>
      </c>
      <c r="D17" s="5" t="s">
        <v>65</v>
      </c>
      <c r="E17" s="28"/>
      <c r="F17" s="6"/>
      <c r="G17" s="6"/>
      <c r="H17" s="16"/>
      <c r="I17" s="17">
        <f t="shared" si="0"/>
        <v>2</v>
      </c>
      <c r="J17" s="7">
        <f t="shared" si="1"/>
        <v>0</v>
      </c>
      <c r="K17" s="8">
        <v>80</v>
      </c>
      <c r="L17" s="8">
        <v>20</v>
      </c>
      <c r="M17" s="8">
        <v>20</v>
      </c>
      <c r="N17" s="8"/>
      <c r="O17" s="8">
        <v>80</v>
      </c>
      <c r="P17" s="7">
        <f t="shared" si="3"/>
        <v>200</v>
      </c>
      <c r="Q17" s="8">
        <v>0</v>
      </c>
      <c r="R17" s="7">
        <f t="shared" si="2"/>
        <v>-200</v>
      </c>
      <c r="S17" s="4"/>
    </row>
    <row r="18" spans="1:19" x14ac:dyDescent="0.3">
      <c r="A18" s="3">
        <v>12</v>
      </c>
      <c r="B18" s="4" t="s">
        <v>47</v>
      </c>
      <c r="C18" s="4" t="s">
        <v>61</v>
      </c>
      <c r="D18" s="5" t="s">
        <v>66</v>
      </c>
      <c r="E18" s="4" t="s">
        <v>87</v>
      </c>
      <c r="F18" s="6">
        <v>320</v>
      </c>
      <c r="G18" s="6"/>
      <c r="H18" s="16">
        <v>120</v>
      </c>
      <c r="I18" s="17">
        <f t="shared" si="0"/>
        <v>2</v>
      </c>
      <c r="J18" s="7">
        <f t="shared" si="1"/>
        <v>240</v>
      </c>
      <c r="K18" s="8">
        <v>80</v>
      </c>
      <c r="L18" s="8">
        <v>20</v>
      </c>
      <c r="M18" s="8">
        <v>20</v>
      </c>
      <c r="N18" s="8"/>
      <c r="O18" s="8">
        <v>80</v>
      </c>
      <c r="P18" s="7">
        <f t="shared" si="3"/>
        <v>440</v>
      </c>
      <c r="Q18" s="8">
        <v>800</v>
      </c>
      <c r="R18" s="7">
        <f t="shared" si="2"/>
        <v>360</v>
      </c>
      <c r="S18" s="4"/>
    </row>
    <row r="19" spans="1:19" x14ac:dyDescent="0.3">
      <c r="A19" s="3">
        <v>13</v>
      </c>
      <c r="B19" s="4" t="s">
        <v>48</v>
      </c>
      <c r="C19" s="4" t="s">
        <v>62</v>
      </c>
      <c r="D19" s="5" t="s">
        <v>66</v>
      </c>
      <c r="E19" s="28"/>
      <c r="F19" s="6"/>
      <c r="G19" s="6"/>
      <c r="H19" s="16"/>
      <c r="I19" s="17">
        <f t="shared" si="0"/>
        <v>2</v>
      </c>
      <c r="J19" s="7">
        <f t="shared" si="1"/>
        <v>0</v>
      </c>
      <c r="K19" s="8">
        <v>80</v>
      </c>
      <c r="L19" s="8">
        <v>20</v>
      </c>
      <c r="M19" s="8">
        <v>20</v>
      </c>
      <c r="N19" s="8"/>
      <c r="O19" s="8">
        <v>80</v>
      </c>
      <c r="P19" s="7">
        <f t="shared" si="3"/>
        <v>200</v>
      </c>
      <c r="Q19" s="8">
        <v>0</v>
      </c>
      <c r="R19" s="7">
        <f t="shared" si="2"/>
        <v>-200</v>
      </c>
      <c r="S19" s="4"/>
    </row>
    <row r="20" spans="1:19" ht="28.8" x14ac:dyDescent="0.3">
      <c r="A20" s="3">
        <v>14</v>
      </c>
      <c r="B20" s="4" t="s">
        <v>49</v>
      </c>
      <c r="C20" s="4" t="s">
        <v>63</v>
      </c>
      <c r="D20" s="5" t="s">
        <v>66</v>
      </c>
      <c r="E20" s="4" t="s">
        <v>77</v>
      </c>
      <c r="F20" s="6">
        <v>300</v>
      </c>
      <c r="G20" s="6"/>
      <c r="H20" s="16">
        <v>100</v>
      </c>
      <c r="I20" s="17">
        <f t="shared" si="0"/>
        <v>2</v>
      </c>
      <c r="J20" s="7">
        <f t="shared" si="1"/>
        <v>200</v>
      </c>
      <c r="K20" s="8">
        <v>400</v>
      </c>
      <c r="L20" s="8">
        <v>32</v>
      </c>
      <c r="M20" s="8">
        <v>20</v>
      </c>
      <c r="N20" s="8"/>
      <c r="O20" s="8">
        <v>80</v>
      </c>
      <c r="P20" s="7">
        <f t="shared" si="3"/>
        <v>732</v>
      </c>
      <c r="Q20" s="8">
        <v>960</v>
      </c>
      <c r="R20" s="7">
        <f t="shared" si="2"/>
        <v>228</v>
      </c>
      <c r="S20" s="4"/>
    </row>
    <row r="21" spans="1:19" x14ac:dyDescent="0.3">
      <c r="A21" s="3">
        <v>15</v>
      </c>
      <c r="B21" s="4" t="s">
        <v>50</v>
      </c>
      <c r="C21" s="4" t="s">
        <v>64</v>
      </c>
      <c r="D21" s="5" t="s">
        <v>66</v>
      </c>
      <c r="E21" s="4" t="s">
        <v>77</v>
      </c>
      <c r="F21" s="6">
        <v>300</v>
      </c>
      <c r="G21" s="6"/>
      <c r="H21" s="16">
        <v>100</v>
      </c>
      <c r="I21" s="17">
        <f t="shared" si="0"/>
        <v>2</v>
      </c>
      <c r="J21" s="7">
        <f t="shared" si="1"/>
        <v>200</v>
      </c>
      <c r="K21" s="8">
        <v>400</v>
      </c>
      <c r="L21" s="8">
        <v>32</v>
      </c>
      <c r="M21" s="8">
        <v>20</v>
      </c>
      <c r="N21" s="8"/>
      <c r="O21" s="8">
        <v>80</v>
      </c>
      <c r="P21" s="7">
        <f t="shared" si="3"/>
        <v>732</v>
      </c>
      <c r="Q21" s="8">
        <v>960</v>
      </c>
      <c r="R21" s="7">
        <f t="shared" si="2"/>
        <v>228</v>
      </c>
      <c r="S21" s="4"/>
    </row>
    <row r="22" spans="1:19" x14ac:dyDescent="0.3">
      <c r="A22" s="3">
        <v>16</v>
      </c>
      <c r="B22" s="4"/>
      <c r="C22" s="4"/>
      <c r="D22" s="5"/>
      <c r="E22" s="4"/>
      <c r="F22" s="6"/>
      <c r="G22" s="6"/>
      <c r="H22" s="16"/>
      <c r="I22" s="17">
        <f t="shared" si="0"/>
        <v>2</v>
      </c>
      <c r="J22" s="7">
        <f t="shared" si="1"/>
        <v>0</v>
      </c>
      <c r="K22" s="8"/>
      <c r="L22" s="8">
        <v>0</v>
      </c>
      <c r="M22" s="8">
        <v>0</v>
      </c>
      <c r="N22" s="8"/>
      <c r="O22" s="8">
        <v>0</v>
      </c>
      <c r="P22" s="7">
        <f t="shared" si="3"/>
        <v>0</v>
      </c>
      <c r="Q22" s="8"/>
      <c r="R22" s="7"/>
      <c r="S22" s="4"/>
    </row>
    <row r="23" spans="1:19" x14ac:dyDescent="0.3">
      <c r="A23" s="3">
        <v>17</v>
      </c>
      <c r="B23" s="4"/>
      <c r="C23" s="4"/>
      <c r="D23" s="5"/>
      <c r="E23" s="4"/>
      <c r="F23" s="6"/>
      <c r="G23" s="6"/>
      <c r="H23" s="16"/>
      <c r="I23" s="17">
        <f t="shared" si="0"/>
        <v>2</v>
      </c>
      <c r="J23" s="7">
        <f t="shared" si="1"/>
        <v>0</v>
      </c>
      <c r="K23" s="8"/>
      <c r="L23" s="8">
        <v>0</v>
      </c>
      <c r="M23" s="8">
        <v>0</v>
      </c>
      <c r="N23" s="8"/>
      <c r="O23" s="8">
        <v>0</v>
      </c>
      <c r="P23" s="7">
        <f t="shared" si="3"/>
        <v>0</v>
      </c>
      <c r="Q23" s="8"/>
      <c r="R23" s="7" t="str">
        <f t="shared" si="2"/>
        <v/>
      </c>
      <c r="S23" s="4"/>
    </row>
    <row r="24" spans="1:19" x14ac:dyDescent="0.3">
      <c r="A24" s="3">
        <v>18</v>
      </c>
      <c r="B24" s="4"/>
      <c r="C24" s="4"/>
      <c r="D24" s="5"/>
      <c r="E24" s="4"/>
      <c r="F24" s="6"/>
      <c r="G24" s="6"/>
      <c r="H24" s="16"/>
      <c r="I24" s="17">
        <f t="shared" si="0"/>
        <v>2</v>
      </c>
      <c r="J24" s="7">
        <f t="shared" si="1"/>
        <v>0</v>
      </c>
      <c r="K24" s="8"/>
      <c r="L24" s="8">
        <v>0</v>
      </c>
      <c r="M24" s="8">
        <v>0</v>
      </c>
      <c r="N24" s="8"/>
      <c r="O24" s="8">
        <v>0</v>
      </c>
      <c r="P24" s="7">
        <f t="shared" si="3"/>
        <v>0</v>
      </c>
      <c r="Q24" s="8"/>
      <c r="R24" s="7" t="str">
        <f t="shared" si="2"/>
        <v/>
      </c>
      <c r="S24" s="4"/>
    </row>
    <row r="25" spans="1:19" ht="4.8" customHeight="1" x14ac:dyDescent="0.3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19" ht="16.05" customHeight="1" x14ac:dyDescent="0.3">
      <c r="A26" s="19" t="s">
        <v>23</v>
      </c>
      <c r="B26" s="20"/>
      <c r="C26" s="20"/>
      <c r="D26" s="20"/>
      <c r="E26" s="21"/>
      <c r="F26" s="11">
        <f>SUM(F7:F24)</f>
        <v>2274</v>
      </c>
      <c r="G26" s="10"/>
      <c r="H26" s="18">
        <f>SUM(H7:H24)</f>
        <v>745</v>
      </c>
      <c r="I26" s="10"/>
      <c r="J26" s="12">
        <f>SUM(J7:J24)</f>
        <v>1490</v>
      </c>
      <c r="K26" s="29">
        <f>SUM(K7:K21)</f>
        <v>3120</v>
      </c>
      <c r="L26" s="29">
        <f>SUM(L7:L21)</f>
        <v>360</v>
      </c>
      <c r="M26" s="29">
        <f t="shared" ref="M26:O26" si="4">SUM(M7:M21)</f>
        <v>300</v>
      </c>
      <c r="N26" s="29">
        <f t="shared" si="4"/>
        <v>0</v>
      </c>
      <c r="O26" s="29">
        <f t="shared" si="4"/>
        <v>1200</v>
      </c>
      <c r="P26" s="12">
        <f>SUM(P7:P24)</f>
        <v>6470</v>
      </c>
      <c r="Q26" s="12">
        <f>SUM(Q7:Q24)</f>
        <v>5921</v>
      </c>
      <c r="R26" s="12">
        <f>SUM(R7:R24)</f>
        <v>-549</v>
      </c>
      <c r="S26" s="10"/>
    </row>
    <row r="27" spans="1:19" ht="24" customHeight="1" x14ac:dyDescent="0.3">
      <c r="F27" s="13" t="s">
        <v>24</v>
      </c>
      <c r="H27" s="13" t="s">
        <v>25</v>
      </c>
      <c r="J27" s="13" t="s">
        <v>26</v>
      </c>
      <c r="K27" s="32" t="s">
        <v>79</v>
      </c>
      <c r="L27" s="30" t="s">
        <v>80</v>
      </c>
      <c r="M27" s="32" t="s">
        <v>81</v>
      </c>
      <c r="N27" s="31" t="s">
        <v>82</v>
      </c>
      <c r="O27" s="32" t="s">
        <v>83</v>
      </c>
      <c r="P27" s="13" t="s">
        <v>27</v>
      </c>
      <c r="Q27" s="13" t="s">
        <v>28</v>
      </c>
      <c r="R27" s="13" t="s">
        <v>29</v>
      </c>
    </row>
  </sheetData>
  <mergeCells count="6">
    <mergeCell ref="A1:S1"/>
    <mergeCell ref="A3:B3"/>
    <mergeCell ref="D3:E3"/>
    <mergeCell ref="G3:H3"/>
    <mergeCell ref="A4:S4"/>
    <mergeCell ref="A26:E26"/>
  </mergeCells>
  <conditionalFormatting sqref="R7:R24">
    <cfRule type="cellIs" dxfId="4" priority="1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zoomScale="80" zoomScaleNormal="80" workbookViewId="0">
      <selection activeCell="L22" sqref="L22"/>
    </sheetView>
  </sheetViews>
  <sheetFormatPr baseColWidth="10" defaultColWidth="8.88671875" defaultRowHeight="14.4" x14ac:dyDescent="0.3"/>
  <cols>
    <col min="1" max="1" width="4" customWidth="1"/>
    <col min="2" max="2" width="16" customWidth="1"/>
    <col min="3" max="3" width="12" customWidth="1"/>
    <col min="4" max="5" width="18" customWidth="1"/>
    <col min="6" max="7" width="10" customWidth="1"/>
    <col min="8" max="8" width="20" customWidth="1"/>
    <col min="9" max="9" width="8" customWidth="1"/>
    <col min="10" max="10" width="18.109375" customWidth="1"/>
    <col min="11" max="11" width="13.6640625" customWidth="1"/>
    <col min="12" max="12" width="14" customWidth="1"/>
    <col min="13" max="14" width="12" customWidth="1"/>
    <col min="15" max="15" width="15" customWidth="1"/>
    <col min="16" max="17" width="12" customWidth="1"/>
    <col min="18" max="18" width="20" customWidth="1"/>
    <col min="19" max="19" width="18" customWidth="1"/>
  </cols>
  <sheetData>
    <row r="1" spans="1:19" ht="22.35" customHeight="1" x14ac:dyDescent="0.3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</row>
    <row r="2" spans="1:19" x14ac:dyDescent="0.3">
      <c r="B2" t="s">
        <v>69</v>
      </c>
    </row>
    <row r="3" spans="1:19" ht="14.4" customHeight="1" x14ac:dyDescent="0.3">
      <c r="A3" s="25" t="s">
        <v>1</v>
      </c>
      <c r="B3" s="23"/>
      <c r="C3" s="14">
        <v>46057</v>
      </c>
      <c r="D3" s="24" t="s">
        <v>2</v>
      </c>
      <c r="E3" s="23"/>
      <c r="F3" s="15">
        <v>2</v>
      </c>
      <c r="G3" s="25" t="s">
        <v>3</v>
      </c>
      <c r="H3" s="23"/>
      <c r="I3" s="1" t="s">
        <v>4</v>
      </c>
    </row>
    <row r="4" spans="1:19" ht="14.4" customHeight="1" x14ac:dyDescent="0.3">
      <c r="A4" s="26" t="s">
        <v>5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</row>
    <row r="5" spans="1:19" ht="9" customHeight="1" x14ac:dyDescent="0.3"/>
    <row r="6" spans="1:19" ht="40.799999999999997" customHeight="1" x14ac:dyDescent="0.3">
      <c r="A6" s="2" t="s">
        <v>6</v>
      </c>
      <c r="B6" s="2" t="s">
        <v>7</v>
      </c>
      <c r="C6" s="2" t="s">
        <v>8</v>
      </c>
      <c r="D6" s="2" t="s">
        <v>9</v>
      </c>
      <c r="E6" s="2" t="s">
        <v>10</v>
      </c>
      <c r="F6" s="2" t="s">
        <v>11</v>
      </c>
      <c r="G6" s="2" t="s">
        <v>12</v>
      </c>
      <c r="H6" s="2" t="s">
        <v>67</v>
      </c>
      <c r="I6" s="2" t="s">
        <v>13</v>
      </c>
      <c r="J6" s="2" t="s">
        <v>14</v>
      </c>
      <c r="K6" s="2" t="s">
        <v>15</v>
      </c>
      <c r="L6" s="2" t="s">
        <v>16</v>
      </c>
      <c r="M6" s="2" t="s">
        <v>17</v>
      </c>
      <c r="N6" s="2" t="s">
        <v>68</v>
      </c>
      <c r="O6" s="2" t="s">
        <v>18</v>
      </c>
      <c r="P6" s="2" t="s">
        <v>19</v>
      </c>
      <c r="Q6" s="2" t="s">
        <v>20</v>
      </c>
      <c r="R6" s="2" t="s">
        <v>21</v>
      </c>
      <c r="S6" s="2" t="s">
        <v>22</v>
      </c>
    </row>
    <row r="7" spans="1:19" x14ac:dyDescent="0.3">
      <c r="A7" s="3">
        <v>1</v>
      </c>
      <c r="B7" s="4" t="s">
        <v>36</v>
      </c>
      <c r="C7" s="4" t="s">
        <v>51</v>
      </c>
      <c r="D7" s="5" t="s">
        <v>65</v>
      </c>
      <c r="E7" s="4" t="s">
        <v>85</v>
      </c>
      <c r="F7" s="6">
        <v>414</v>
      </c>
      <c r="G7" s="6"/>
      <c r="H7" s="16">
        <v>125</v>
      </c>
      <c r="I7" s="17">
        <f t="shared" ref="I7:I24" si="0">$F$3</f>
        <v>2</v>
      </c>
      <c r="J7" s="7">
        <f t="shared" ref="J7:J24" si="1">IF(OR(H7="",I7=""),0,H7*I7)</f>
        <v>250</v>
      </c>
      <c r="K7" s="8">
        <v>400</v>
      </c>
      <c r="L7" s="8">
        <v>32</v>
      </c>
      <c r="M7" s="8">
        <v>20</v>
      </c>
      <c r="N7" s="8"/>
      <c r="O7" s="8">
        <v>80</v>
      </c>
      <c r="P7" s="7">
        <f>J7+N(K7)+N(L7)+N(M7)+N(O7)+N7</f>
        <v>782</v>
      </c>
      <c r="Q7" s="8">
        <v>524</v>
      </c>
      <c r="R7" s="7">
        <f t="shared" ref="R7:R24" si="2">IF(Q7="","",N(Q7)-P7)</f>
        <v>-258</v>
      </c>
      <c r="S7" s="4"/>
    </row>
    <row r="8" spans="1:19" ht="28.8" x14ac:dyDescent="0.3">
      <c r="A8" s="3">
        <v>2</v>
      </c>
      <c r="B8" s="4" t="s">
        <v>37</v>
      </c>
      <c r="C8" s="4" t="s">
        <v>52</v>
      </c>
      <c r="D8" s="5" t="s">
        <v>65</v>
      </c>
      <c r="E8" s="4" t="s">
        <v>70</v>
      </c>
      <c r="F8" s="6">
        <v>414</v>
      </c>
      <c r="G8" s="6"/>
      <c r="H8" s="16">
        <v>125</v>
      </c>
      <c r="I8" s="17">
        <f t="shared" si="0"/>
        <v>2</v>
      </c>
      <c r="J8" s="7">
        <f t="shared" si="1"/>
        <v>250</v>
      </c>
      <c r="K8" s="8">
        <v>400</v>
      </c>
      <c r="L8" s="8">
        <v>32</v>
      </c>
      <c r="M8" s="8">
        <v>20</v>
      </c>
      <c r="N8" s="8"/>
      <c r="O8" s="8">
        <v>80</v>
      </c>
      <c r="P8" s="7">
        <f t="shared" ref="P8:P24" si="3">J8+N(K8)+N(L8)+N(M8)+N(O8)+N8</f>
        <v>782</v>
      </c>
      <c r="Q8" s="8">
        <v>524</v>
      </c>
      <c r="R8" s="7">
        <f t="shared" si="2"/>
        <v>-258</v>
      </c>
      <c r="S8" s="4"/>
    </row>
    <row r="9" spans="1:19" x14ac:dyDescent="0.3">
      <c r="A9" s="3">
        <v>3</v>
      </c>
      <c r="B9" s="4" t="s">
        <v>38</v>
      </c>
      <c r="C9" s="4" t="s">
        <v>53</v>
      </c>
      <c r="D9" s="5" t="s">
        <v>65</v>
      </c>
      <c r="E9" s="4" t="s">
        <v>75</v>
      </c>
      <c r="F9" s="6">
        <v>80</v>
      </c>
      <c r="G9" s="6"/>
      <c r="H9" s="16">
        <v>30</v>
      </c>
      <c r="I9" s="17">
        <f t="shared" si="0"/>
        <v>2</v>
      </c>
      <c r="J9" s="7">
        <f t="shared" si="1"/>
        <v>60</v>
      </c>
      <c r="K9" s="8">
        <v>80</v>
      </c>
      <c r="L9" s="8">
        <v>20</v>
      </c>
      <c r="M9" s="8">
        <v>20</v>
      </c>
      <c r="N9" s="8"/>
      <c r="O9" s="8">
        <v>80</v>
      </c>
      <c r="P9" s="7">
        <f t="shared" si="3"/>
        <v>260</v>
      </c>
      <c r="Q9" s="8">
        <v>187</v>
      </c>
      <c r="R9" s="7">
        <f t="shared" si="2"/>
        <v>-73</v>
      </c>
      <c r="S9" s="4"/>
    </row>
    <row r="10" spans="1:19" x14ac:dyDescent="0.3">
      <c r="A10" s="3">
        <v>4</v>
      </c>
      <c r="B10" s="4" t="s">
        <v>39</v>
      </c>
      <c r="C10" s="4" t="s">
        <v>54</v>
      </c>
      <c r="D10" s="5" t="s">
        <v>65</v>
      </c>
      <c r="E10" s="4" t="s">
        <v>72</v>
      </c>
      <c r="F10" s="6">
        <v>380</v>
      </c>
      <c r="G10" s="6"/>
      <c r="H10" s="16">
        <v>120</v>
      </c>
      <c r="I10" s="17">
        <f t="shared" si="0"/>
        <v>2</v>
      </c>
      <c r="J10" s="7">
        <f t="shared" si="1"/>
        <v>240</v>
      </c>
      <c r="K10" s="8">
        <v>80</v>
      </c>
      <c r="L10" s="8">
        <v>20</v>
      </c>
      <c r="M10" s="8">
        <v>20</v>
      </c>
      <c r="N10" s="8"/>
      <c r="O10" s="8">
        <v>80</v>
      </c>
      <c r="P10" s="7">
        <f t="shared" si="3"/>
        <v>440</v>
      </c>
      <c r="Q10" s="8">
        <v>553</v>
      </c>
      <c r="R10" s="7">
        <f t="shared" si="2"/>
        <v>113</v>
      </c>
      <c r="S10" s="4"/>
    </row>
    <row r="11" spans="1:19" x14ac:dyDescent="0.3">
      <c r="A11" s="3">
        <v>5</v>
      </c>
      <c r="B11" s="4" t="s">
        <v>40</v>
      </c>
      <c r="C11" s="4" t="s">
        <v>55</v>
      </c>
      <c r="D11" s="5" t="s">
        <v>65</v>
      </c>
      <c r="E11" s="4" t="s">
        <v>88</v>
      </c>
      <c r="F11" s="6">
        <v>140</v>
      </c>
      <c r="G11" s="6"/>
      <c r="H11" s="16">
        <v>40</v>
      </c>
      <c r="I11" s="17">
        <f t="shared" si="0"/>
        <v>2</v>
      </c>
      <c r="J11" s="7">
        <f t="shared" si="1"/>
        <v>80</v>
      </c>
      <c r="K11" s="8">
        <v>80</v>
      </c>
      <c r="L11" s="8">
        <v>20</v>
      </c>
      <c r="M11" s="8">
        <v>20</v>
      </c>
      <c r="N11" s="8">
        <v>420</v>
      </c>
      <c r="O11" s="8">
        <v>80</v>
      </c>
      <c r="P11" s="7">
        <f t="shared" si="3"/>
        <v>700</v>
      </c>
      <c r="Q11" s="8">
        <v>234</v>
      </c>
      <c r="R11" s="7">
        <f t="shared" si="2"/>
        <v>-466</v>
      </c>
      <c r="S11" s="4"/>
    </row>
    <row r="12" spans="1:19" x14ac:dyDescent="0.3">
      <c r="A12" s="3">
        <v>6</v>
      </c>
      <c r="B12" s="4" t="s">
        <v>41</v>
      </c>
      <c r="C12" s="4" t="s">
        <v>56</v>
      </c>
      <c r="D12" s="5" t="s">
        <v>65</v>
      </c>
      <c r="E12" s="4" t="s">
        <v>74</v>
      </c>
      <c r="F12" s="6"/>
      <c r="G12" s="6"/>
      <c r="H12" s="16"/>
      <c r="I12" s="17">
        <f t="shared" si="0"/>
        <v>2</v>
      </c>
      <c r="J12" s="7">
        <f t="shared" si="1"/>
        <v>0</v>
      </c>
      <c r="K12" s="8">
        <v>400</v>
      </c>
      <c r="L12" s="8">
        <v>20</v>
      </c>
      <c r="M12" s="8">
        <v>20</v>
      </c>
      <c r="N12" s="8"/>
      <c r="O12" s="8">
        <v>80</v>
      </c>
      <c r="P12" s="7">
        <f t="shared" si="3"/>
        <v>520</v>
      </c>
      <c r="Q12" s="8">
        <v>0</v>
      </c>
      <c r="R12" s="7">
        <f t="shared" si="2"/>
        <v>-520</v>
      </c>
      <c r="S12" s="4"/>
    </row>
    <row r="13" spans="1:19" x14ac:dyDescent="0.3">
      <c r="A13" s="3">
        <v>7</v>
      </c>
      <c r="B13" s="4" t="s">
        <v>42</v>
      </c>
      <c r="C13" s="4" t="s">
        <v>57</v>
      </c>
      <c r="D13" s="5" t="s">
        <v>65</v>
      </c>
      <c r="E13" s="4" t="s">
        <v>89</v>
      </c>
      <c r="F13" s="6">
        <v>440</v>
      </c>
      <c r="G13" s="6"/>
      <c r="H13" s="16">
        <v>140</v>
      </c>
      <c r="I13" s="17">
        <f t="shared" si="0"/>
        <v>2</v>
      </c>
      <c r="J13" s="7">
        <f t="shared" si="1"/>
        <v>280</v>
      </c>
      <c r="K13" s="8">
        <v>400</v>
      </c>
      <c r="L13" s="8">
        <v>32</v>
      </c>
      <c r="M13" s="8">
        <v>20</v>
      </c>
      <c r="N13" s="8"/>
      <c r="O13" s="8">
        <v>80</v>
      </c>
      <c r="P13" s="7">
        <f t="shared" si="3"/>
        <v>812</v>
      </c>
      <c r="Q13" s="8">
        <v>670</v>
      </c>
      <c r="R13" s="7">
        <f t="shared" si="2"/>
        <v>-142</v>
      </c>
      <c r="S13" s="4"/>
    </row>
    <row r="14" spans="1:19" x14ac:dyDescent="0.3">
      <c r="A14" s="3">
        <v>8</v>
      </c>
      <c r="B14" s="4" t="s">
        <v>43</v>
      </c>
      <c r="C14" s="4" t="s">
        <v>58</v>
      </c>
      <c r="D14" s="5" t="s">
        <v>65</v>
      </c>
      <c r="E14" s="28"/>
      <c r="F14" s="6"/>
      <c r="G14" s="6"/>
      <c r="H14" s="16"/>
      <c r="I14" s="17">
        <f t="shared" si="0"/>
        <v>2</v>
      </c>
      <c r="J14" s="7">
        <f t="shared" si="1"/>
        <v>0</v>
      </c>
      <c r="K14" s="8">
        <v>80</v>
      </c>
      <c r="L14" s="8">
        <v>20</v>
      </c>
      <c r="M14" s="8">
        <v>20</v>
      </c>
      <c r="N14" s="8"/>
      <c r="O14" s="8">
        <v>80</v>
      </c>
      <c r="P14" s="7">
        <f t="shared" si="3"/>
        <v>200</v>
      </c>
      <c r="Q14" s="8">
        <v>0</v>
      </c>
      <c r="R14" s="7">
        <f t="shared" si="2"/>
        <v>-200</v>
      </c>
      <c r="S14" s="4"/>
    </row>
    <row r="15" spans="1:19" x14ac:dyDescent="0.3">
      <c r="A15" s="3">
        <v>9</v>
      </c>
      <c r="B15" s="4" t="s">
        <v>44</v>
      </c>
      <c r="C15" s="4"/>
      <c r="D15" s="5" t="s">
        <v>65</v>
      </c>
      <c r="E15" s="4" t="s">
        <v>88</v>
      </c>
      <c r="F15" s="6">
        <v>140</v>
      </c>
      <c r="G15" s="6"/>
      <c r="H15" s="16">
        <v>40</v>
      </c>
      <c r="I15" s="17">
        <f t="shared" si="0"/>
        <v>2</v>
      </c>
      <c r="J15" s="7">
        <f t="shared" si="1"/>
        <v>80</v>
      </c>
      <c r="K15" s="8">
        <v>80</v>
      </c>
      <c r="L15" s="8">
        <v>20</v>
      </c>
      <c r="M15" s="8">
        <v>20</v>
      </c>
      <c r="N15" s="8"/>
      <c r="O15" s="8">
        <v>80</v>
      </c>
      <c r="P15" s="7">
        <f t="shared" si="3"/>
        <v>280</v>
      </c>
      <c r="Q15" s="8">
        <v>234</v>
      </c>
      <c r="R15" s="7">
        <f t="shared" si="2"/>
        <v>-46</v>
      </c>
      <c r="S15" s="4"/>
    </row>
    <row r="16" spans="1:19" x14ac:dyDescent="0.3">
      <c r="A16" s="3">
        <v>10</v>
      </c>
      <c r="B16" s="4" t="s">
        <v>45</v>
      </c>
      <c r="C16" s="4" t="s">
        <v>59</v>
      </c>
      <c r="D16" s="5" t="s">
        <v>65</v>
      </c>
      <c r="E16" s="4" t="s">
        <v>90</v>
      </c>
      <c r="F16" s="6">
        <v>0</v>
      </c>
      <c r="G16" s="6"/>
      <c r="H16" s="16">
        <v>0</v>
      </c>
      <c r="I16" s="17">
        <f t="shared" si="0"/>
        <v>2</v>
      </c>
      <c r="J16" s="7">
        <f t="shared" si="1"/>
        <v>0</v>
      </c>
      <c r="K16" s="8">
        <v>80</v>
      </c>
      <c r="L16" s="8">
        <v>20</v>
      </c>
      <c r="M16" s="8">
        <v>20</v>
      </c>
      <c r="N16" s="8"/>
      <c r="O16" s="8">
        <v>80</v>
      </c>
      <c r="P16" s="7">
        <f t="shared" si="3"/>
        <v>200</v>
      </c>
      <c r="Q16" s="8">
        <v>0</v>
      </c>
      <c r="R16" s="7">
        <f t="shared" si="2"/>
        <v>-200</v>
      </c>
      <c r="S16" s="4"/>
    </row>
    <row r="17" spans="1:19" x14ac:dyDescent="0.3">
      <c r="A17" s="3">
        <v>11</v>
      </c>
      <c r="B17" s="4" t="s">
        <v>46</v>
      </c>
      <c r="C17" s="4" t="s">
        <v>60</v>
      </c>
      <c r="D17" s="5" t="s">
        <v>65</v>
      </c>
      <c r="E17" s="28"/>
      <c r="F17" s="6"/>
      <c r="G17" s="6"/>
      <c r="H17" s="16"/>
      <c r="I17" s="17">
        <f t="shared" si="0"/>
        <v>2</v>
      </c>
      <c r="J17" s="7">
        <f t="shared" si="1"/>
        <v>0</v>
      </c>
      <c r="K17" s="8">
        <v>80</v>
      </c>
      <c r="L17" s="8">
        <v>20</v>
      </c>
      <c r="M17" s="8">
        <v>20</v>
      </c>
      <c r="N17" s="8">
        <v>673</v>
      </c>
      <c r="O17" s="8">
        <v>80</v>
      </c>
      <c r="P17" s="7">
        <f t="shared" si="3"/>
        <v>873</v>
      </c>
      <c r="Q17" s="8">
        <v>0</v>
      </c>
      <c r="R17" s="7">
        <f t="shared" si="2"/>
        <v>-873</v>
      </c>
      <c r="S17" s="4"/>
    </row>
    <row r="18" spans="1:19" x14ac:dyDescent="0.3">
      <c r="A18" s="3">
        <v>12</v>
      </c>
      <c r="B18" s="4" t="s">
        <v>47</v>
      </c>
      <c r="C18" s="4" t="s">
        <v>61</v>
      </c>
      <c r="D18" s="5" t="s">
        <v>66</v>
      </c>
      <c r="E18" s="4" t="s">
        <v>91</v>
      </c>
      <c r="F18" s="6">
        <v>320</v>
      </c>
      <c r="G18" s="6"/>
      <c r="H18" s="16">
        <v>120</v>
      </c>
      <c r="I18" s="17">
        <f t="shared" si="0"/>
        <v>2</v>
      </c>
      <c r="J18" s="7">
        <f t="shared" si="1"/>
        <v>240</v>
      </c>
      <c r="K18" s="8">
        <v>80</v>
      </c>
      <c r="L18" s="8">
        <v>20</v>
      </c>
      <c r="M18" s="8">
        <v>20</v>
      </c>
      <c r="N18" s="8"/>
      <c r="O18" s="8">
        <v>80</v>
      </c>
      <c r="P18" s="7">
        <f t="shared" si="3"/>
        <v>440</v>
      </c>
      <c r="Q18" s="8">
        <v>800</v>
      </c>
      <c r="R18" s="7">
        <f t="shared" si="2"/>
        <v>360</v>
      </c>
      <c r="S18" s="4"/>
    </row>
    <row r="19" spans="1:19" x14ac:dyDescent="0.3">
      <c r="A19" s="3">
        <v>13</v>
      </c>
      <c r="B19" s="4" t="s">
        <v>48</v>
      </c>
      <c r="C19" s="4" t="s">
        <v>62</v>
      </c>
      <c r="D19" s="5" t="s">
        <v>66</v>
      </c>
      <c r="E19" s="28"/>
      <c r="F19" s="6"/>
      <c r="G19" s="6"/>
      <c r="H19" s="16"/>
      <c r="I19" s="17">
        <f t="shared" si="0"/>
        <v>2</v>
      </c>
      <c r="J19" s="7">
        <f t="shared" si="1"/>
        <v>0</v>
      </c>
      <c r="K19" s="8">
        <v>80</v>
      </c>
      <c r="L19" s="8">
        <v>20</v>
      </c>
      <c r="M19" s="8">
        <v>20</v>
      </c>
      <c r="N19" s="8"/>
      <c r="O19" s="8">
        <v>80</v>
      </c>
      <c r="P19" s="7">
        <f t="shared" si="3"/>
        <v>200</v>
      </c>
      <c r="Q19" s="8">
        <v>0</v>
      </c>
      <c r="R19" s="7">
        <f t="shared" si="2"/>
        <v>-200</v>
      </c>
      <c r="S19" s="4"/>
    </row>
    <row r="20" spans="1:19" ht="28.8" x14ac:dyDescent="0.3">
      <c r="A20" s="3">
        <v>14</v>
      </c>
      <c r="B20" s="4" t="s">
        <v>49</v>
      </c>
      <c r="C20" s="4" t="s">
        <v>63</v>
      </c>
      <c r="D20" s="5" t="s">
        <v>66</v>
      </c>
      <c r="E20" s="4" t="s">
        <v>77</v>
      </c>
      <c r="F20" s="6">
        <v>400</v>
      </c>
      <c r="G20" s="6"/>
      <c r="H20" s="16">
        <v>135</v>
      </c>
      <c r="I20" s="17">
        <f t="shared" si="0"/>
        <v>2</v>
      </c>
      <c r="J20" s="7">
        <f t="shared" si="1"/>
        <v>270</v>
      </c>
      <c r="K20" s="8">
        <v>400</v>
      </c>
      <c r="L20" s="8">
        <v>32</v>
      </c>
      <c r="M20" s="8">
        <v>20</v>
      </c>
      <c r="N20" s="8"/>
      <c r="O20" s="8">
        <v>80</v>
      </c>
      <c r="P20" s="7">
        <f t="shared" si="3"/>
        <v>802</v>
      </c>
      <c r="Q20" s="8">
        <v>980</v>
      </c>
      <c r="R20" s="7">
        <f t="shared" si="2"/>
        <v>178</v>
      </c>
      <c r="S20" s="4"/>
    </row>
    <row r="21" spans="1:19" x14ac:dyDescent="0.3">
      <c r="A21" s="3">
        <v>15</v>
      </c>
      <c r="B21" s="4" t="s">
        <v>50</v>
      </c>
      <c r="C21" s="4" t="s">
        <v>64</v>
      </c>
      <c r="D21" s="5" t="s">
        <v>66</v>
      </c>
      <c r="E21" s="4" t="s">
        <v>77</v>
      </c>
      <c r="F21" s="6">
        <v>400</v>
      </c>
      <c r="G21" s="6"/>
      <c r="H21" s="16">
        <v>135</v>
      </c>
      <c r="I21" s="17">
        <f t="shared" si="0"/>
        <v>2</v>
      </c>
      <c r="J21" s="7">
        <f t="shared" si="1"/>
        <v>270</v>
      </c>
      <c r="K21" s="8">
        <v>400</v>
      </c>
      <c r="L21" s="8">
        <v>32</v>
      </c>
      <c r="M21" s="8">
        <v>20</v>
      </c>
      <c r="N21" s="8"/>
      <c r="O21" s="8">
        <v>80</v>
      </c>
      <c r="P21" s="7">
        <f t="shared" si="3"/>
        <v>802</v>
      </c>
      <c r="Q21" s="8">
        <v>980</v>
      </c>
      <c r="R21" s="7">
        <f t="shared" si="2"/>
        <v>178</v>
      </c>
      <c r="S21" s="4"/>
    </row>
    <row r="22" spans="1:19" x14ac:dyDescent="0.3">
      <c r="A22" s="3">
        <v>16</v>
      </c>
      <c r="B22" s="4"/>
      <c r="C22" s="4"/>
      <c r="D22" s="5"/>
      <c r="E22" s="4"/>
      <c r="F22" s="6"/>
      <c r="G22" s="6"/>
      <c r="H22" s="16"/>
      <c r="I22" s="17">
        <f t="shared" si="0"/>
        <v>2</v>
      </c>
      <c r="J22" s="7">
        <f t="shared" si="1"/>
        <v>0</v>
      </c>
      <c r="K22" s="8"/>
      <c r="L22" s="8">
        <v>0</v>
      </c>
      <c r="M22" s="8">
        <v>0</v>
      </c>
      <c r="N22" s="8"/>
      <c r="O22" s="8">
        <v>0</v>
      </c>
      <c r="P22" s="7">
        <f t="shared" si="3"/>
        <v>0</v>
      </c>
      <c r="Q22" s="8"/>
      <c r="R22" s="7"/>
      <c r="S22" s="4"/>
    </row>
    <row r="23" spans="1:19" x14ac:dyDescent="0.3">
      <c r="A23" s="3">
        <v>17</v>
      </c>
      <c r="B23" s="4"/>
      <c r="C23" s="4"/>
      <c r="D23" s="5"/>
      <c r="E23" s="4"/>
      <c r="F23" s="6"/>
      <c r="G23" s="6"/>
      <c r="H23" s="16"/>
      <c r="I23" s="17">
        <f t="shared" si="0"/>
        <v>2</v>
      </c>
      <c r="J23" s="7">
        <f t="shared" si="1"/>
        <v>0</v>
      </c>
      <c r="K23" s="8"/>
      <c r="L23" s="8">
        <v>0</v>
      </c>
      <c r="M23" s="8">
        <v>0</v>
      </c>
      <c r="N23" s="8"/>
      <c r="O23" s="8">
        <v>0</v>
      </c>
      <c r="P23" s="7">
        <f t="shared" si="3"/>
        <v>0</v>
      </c>
      <c r="Q23" s="8"/>
      <c r="R23" s="7" t="str">
        <f t="shared" si="2"/>
        <v/>
      </c>
      <c r="S23" s="4"/>
    </row>
    <row r="24" spans="1:19" x14ac:dyDescent="0.3">
      <c r="A24" s="3">
        <v>18</v>
      </c>
      <c r="B24" s="4"/>
      <c r="C24" s="4"/>
      <c r="D24" s="5"/>
      <c r="E24" s="4"/>
      <c r="F24" s="6"/>
      <c r="G24" s="6"/>
      <c r="H24" s="16"/>
      <c r="I24" s="17">
        <f t="shared" si="0"/>
        <v>2</v>
      </c>
      <c r="J24" s="7">
        <f t="shared" si="1"/>
        <v>0</v>
      </c>
      <c r="K24" s="8"/>
      <c r="L24" s="8">
        <v>0</v>
      </c>
      <c r="M24" s="8">
        <v>0</v>
      </c>
      <c r="N24" s="8"/>
      <c r="O24" s="8">
        <v>0</v>
      </c>
      <c r="P24" s="7">
        <f t="shared" si="3"/>
        <v>0</v>
      </c>
      <c r="Q24" s="8"/>
      <c r="R24" s="7" t="str">
        <f t="shared" si="2"/>
        <v/>
      </c>
      <c r="S24" s="4"/>
    </row>
    <row r="25" spans="1:19" ht="4.8" customHeight="1" x14ac:dyDescent="0.3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19" ht="16.05" customHeight="1" x14ac:dyDescent="0.3">
      <c r="A26" s="19" t="s">
        <v>23</v>
      </c>
      <c r="B26" s="20"/>
      <c r="C26" s="20"/>
      <c r="D26" s="20"/>
      <c r="E26" s="21"/>
      <c r="F26" s="11">
        <f>SUM(F7:F24)</f>
        <v>3128</v>
      </c>
      <c r="G26" s="10"/>
      <c r="H26" s="18">
        <f>SUM(H7:H24)</f>
        <v>1010</v>
      </c>
      <c r="I26" s="10"/>
      <c r="J26" s="12">
        <f>SUM(J7:J24)</f>
        <v>2020</v>
      </c>
      <c r="K26" s="29">
        <f>SUM(K7:K21)</f>
        <v>3120</v>
      </c>
      <c r="L26" s="29">
        <f>SUM(L7:L21)</f>
        <v>360</v>
      </c>
      <c r="M26" s="29">
        <f t="shared" ref="M26:O26" si="4">SUM(M7:M21)</f>
        <v>300</v>
      </c>
      <c r="N26" s="29">
        <f t="shared" si="4"/>
        <v>1093</v>
      </c>
      <c r="O26" s="29">
        <f t="shared" si="4"/>
        <v>1200</v>
      </c>
      <c r="P26" s="12">
        <f>SUM(P7:P24)</f>
        <v>8093</v>
      </c>
      <c r="Q26" s="12">
        <f>SUM(Q7:Q24)</f>
        <v>5686</v>
      </c>
      <c r="R26" s="12">
        <f>SUM(R7:R24)</f>
        <v>-2407</v>
      </c>
      <c r="S26" s="10"/>
    </row>
    <row r="27" spans="1:19" ht="24" customHeight="1" x14ac:dyDescent="0.3">
      <c r="F27" s="13" t="s">
        <v>24</v>
      </c>
      <c r="H27" s="13" t="s">
        <v>25</v>
      </c>
      <c r="J27" s="13" t="s">
        <v>26</v>
      </c>
      <c r="K27" s="32" t="s">
        <v>79</v>
      </c>
      <c r="L27" s="30" t="s">
        <v>80</v>
      </c>
      <c r="M27" s="32" t="s">
        <v>81</v>
      </c>
      <c r="N27" s="31" t="s">
        <v>82</v>
      </c>
      <c r="O27" s="32" t="s">
        <v>83</v>
      </c>
      <c r="P27" s="13" t="s">
        <v>27</v>
      </c>
      <c r="Q27" s="13" t="s">
        <v>28</v>
      </c>
      <c r="R27" s="13" t="s">
        <v>29</v>
      </c>
    </row>
  </sheetData>
  <mergeCells count="6">
    <mergeCell ref="A1:S1"/>
    <mergeCell ref="A3:B3"/>
    <mergeCell ref="D3:E3"/>
    <mergeCell ref="G3:H3"/>
    <mergeCell ref="A4:S4"/>
    <mergeCell ref="A26:E26"/>
  </mergeCells>
  <conditionalFormatting sqref="R7:R24">
    <cfRule type="cellIs" dxfId="3" priority="1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tabSelected="1" zoomScale="80" zoomScaleNormal="80" workbookViewId="0">
      <selection activeCell="S14" sqref="S14"/>
    </sheetView>
  </sheetViews>
  <sheetFormatPr baseColWidth="10" defaultColWidth="8.88671875" defaultRowHeight="14.4" x14ac:dyDescent="0.3"/>
  <cols>
    <col min="1" max="1" width="4" customWidth="1"/>
    <col min="2" max="2" width="16" customWidth="1"/>
    <col min="3" max="3" width="12" customWidth="1"/>
    <col min="4" max="5" width="18" customWidth="1"/>
    <col min="6" max="7" width="10" customWidth="1"/>
    <col min="8" max="8" width="20" customWidth="1"/>
    <col min="9" max="9" width="8" customWidth="1"/>
    <col min="10" max="10" width="18.109375" customWidth="1"/>
    <col min="11" max="11" width="13.6640625" customWidth="1"/>
    <col min="12" max="12" width="14" customWidth="1"/>
    <col min="13" max="14" width="12" customWidth="1"/>
    <col min="15" max="15" width="15" customWidth="1"/>
    <col min="16" max="17" width="12" customWidth="1"/>
    <col min="18" max="18" width="20" customWidth="1"/>
    <col min="19" max="19" width="18" customWidth="1"/>
  </cols>
  <sheetData>
    <row r="1" spans="1:19" ht="22.35" customHeight="1" x14ac:dyDescent="0.3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</row>
    <row r="2" spans="1:19" x14ac:dyDescent="0.3">
      <c r="B2" t="s">
        <v>69</v>
      </c>
    </row>
    <row r="3" spans="1:19" ht="14.4" customHeight="1" x14ac:dyDescent="0.3">
      <c r="A3" s="25" t="s">
        <v>1</v>
      </c>
      <c r="B3" s="23"/>
      <c r="C3" s="14">
        <v>46058</v>
      </c>
      <c r="D3" s="24" t="s">
        <v>2</v>
      </c>
      <c r="E3" s="23"/>
      <c r="F3" s="15">
        <v>2</v>
      </c>
      <c r="G3" s="25" t="s">
        <v>3</v>
      </c>
      <c r="H3" s="23"/>
      <c r="I3" s="1" t="s">
        <v>4</v>
      </c>
    </row>
    <row r="4" spans="1:19" ht="14.4" customHeight="1" x14ac:dyDescent="0.3">
      <c r="A4" s="26" t="s">
        <v>5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</row>
    <row r="5" spans="1:19" ht="9" customHeight="1" x14ac:dyDescent="0.3"/>
    <row r="6" spans="1:19" ht="40.799999999999997" customHeight="1" x14ac:dyDescent="0.3">
      <c r="A6" s="2" t="s">
        <v>6</v>
      </c>
      <c r="B6" s="2" t="s">
        <v>7</v>
      </c>
      <c r="C6" s="2" t="s">
        <v>8</v>
      </c>
      <c r="D6" s="2" t="s">
        <v>9</v>
      </c>
      <c r="E6" s="2" t="s">
        <v>10</v>
      </c>
      <c r="F6" s="2" t="s">
        <v>11</v>
      </c>
      <c r="G6" s="2" t="s">
        <v>12</v>
      </c>
      <c r="H6" s="2" t="s">
        <v>67</v>
      </c>
      <c r="I6" s="2" t="s">
        <v>13</v>
      </c>
      <c r="J6" s="2" t="s">
        <v>14</v>
      </c>
      <c r="K6" s="2" t="s">
        <v>15</v>
      </c>
      <c r="L6" s="2" t="s">
        <v>16</v>
      </c>
      <c r="M6" s="2" t="s">
        <v>17</v>
      </c>
      <c r="N6" s="2" t="s">
        <v>68</v>
      </c>
      <c r="O6" s="2" t="s">
        <v>18</v>
      </c>
      <c r="P6" s="2" t="s">
        <v>19</v>
      </c>
      <c r="Q6" s="2" t="s">
        <v>20</v>
      </c>
      <c r="R6" s="2" t="s">
        <v>21</v>
      </c>
      <c r="S6" s="2" t="s">
        <v>22</v>
      </c>
    </row>
    <row r="7" spans="1:19" x14ac:dyDescent="0.3">
      <c r="A7" s="3">
        <v>1</v>
      </c>
      <c r="B7" s="4" t="s">
        <v>36</v>
      </c>
      <c r="C7" s="4" t="s">
        <v>51</v>
      </c>
      <c r="D7" s="5" t="s">
        <v>65</v>
      </c>
      <c r="E7" s="4" t="s">
        <v>92</v>
      </c>
      <c r="F7" s="6">
        <v>130</v>
      </c>
      <c r="G7" s="6"/>
      <c r="H7" s="16">
        <v>40</v>
      </c>
      <c r="I7" s="17">
        <f t="shared" ref="I7:I24" si="0">$F$3</f>
        <v>2</v>
      </c>
      <c r="J7" s="7">
        <f t="shared" ref="J7:J24" si="1">IF(OR(H7="",I7=""),0,H7*I7)</f>
        <v>80</v>
      </c>
      <c r="K7" s="8">
        <v>400</v>
      </c>
      <c r="L7" s="8">
        <v>32</v>
      </c>
      <c r="M7" s="8">
        <v>20</v>
      </c>
      <c r="N7" s="8">
        <v>0</v>
      </c>
      <c r="O7" s="8">
        <v>80</v>
      </c>
      <c r="P7" s="7">
        <f>J7+N(K7)+N(L7)+N(M7)+N(O7)+N7</f>
        <v>612</v>
      </c>
      <c r="Q7" s="8">
        <v>234</v>
      </c>
      <c r="R7" s="7">
        <f t="shared" ref="R7:R24" si="2">IF(Q7="","",N(Q7)-P7)</f>
        <v>-378</v>
      </c>
      <c r="S7" s="4"/>
    </row>
    <row r="8" spans="1:19" ht="28.8" x14ac:dyDescent="0.3">
      <c r="A8" s="3">
        <v>2</v>
      </c>
      <c r="B8" s="4" t="s">
        <v>37</v>
      </c>
      <c r="C8" s="4" t="s">
        <v>52</v>
      </c>
      <c r="D8" s="5" t="s">
        <v>65</v>
      </c>
      <c r="E8" s="4" t="s">
        <v>72</v>
      </c>
      <c r="F8" s="6">
        <v>380</v>
      </c>
      <c r="G8" s="6"/>
      <c r="H8" s="16">
        <v>110</v>
      </c>
      <c r="I8" s="17">
        <f t="shared" si="0"/>
        <v>2</v>
      </c>
      <c r="J8" s="7">
        <f t="shared" si="1"/>
        <v>220</v>
      </c>
      <c r="K8" s="8">
        <v>400</v>
      </c>
      <c r="L8" s="8">
        <v>32</v>
      </c>
      <c r="M8" s="8">
        <v>20</v>
      </c>
      <c r="N8" s="8">
        <v>0</v>
      </c>
      <c r="O8" s="8">
        <v>80</v>
      </c>
      <c r="P8" s="7">
        <f t="shared" ref="P8:P24" si="3">J8+N(K8)+N(L8)+N(M8)+N(O8)+N8</f>
        <v>752</v>
      </c>
      <c r="Q8" s="8">
        <v>591</v>
      </c>
      <c r="R8" s="7">
        <f t="shared" si="2"/>
        <v>-161</v>
      </c>
      <c r="S8" s="4"/>
    </row>
    <row r="9" spans="1:19" x14ac:dyDescent="0.3">
      <c r="A9" s="3">
        <v>3</v>
      </c>
      <c r="B9" s="4" t="s">
        <v>38</v>
      </c>
      <c r="C9" s="4" t="s">
        <v>53</v>
      </c>
      <c r="D9" s="5" t="s">
        <v>65</v>
      </c>
      <c r="E9" s="4"/>
      <c r="F9" s="6">
        <v>0</v>
      </c>
      <c r="G9" s="6"/>
      <c r="H9" s="16">
        <v>0</v>
      </c>
      <c r="I9" s="17">
        <f t="shared" si="0"/>
        <v>2</v>
      </c>
      <c r="J9" s="7">
        <f t="shared" si="1"/>
        <v>0</v>
      </c>
      <c r="K9" s="8">
        <v>80</v>
      </c>
      <c r="L9" s="8">
        <v>20</v>
      </c>
      <c r="M9" s="8">
        <v>20</v>
      </c>
      <c r="N9" s="8">
        <v>0</v>
      </c>
      <c r="O9" s="8">
        <v>80</v>
      </c>
      <c r="P9" s="7">
        <f t="shared" si="3"/>
        <v>200</v>
      </c>
      <c r="Q9" s="8">
        <v>0</v>
      </c>
      <c r="R9" s="7">
        <f t="shared" si="2"/>
        <v>-200</v>
      </c>
      <c r="S9" s="4"/>
    </row>
    <row r="10" spans="1:19" x14ac:dyDescent="0.3">
      <c r="A10" s="3">
        <v>4</v>
      </c>
      <c r="B10" s="4" t="s">
        <v>39</v>
      </c>
      <c r="C10" s="4" t="s">
        <v>54</v>
      </c>
      <c r="D10" s="5" t="s">
        <v>65</v>
      </c>
      <c r="E10" s="4" t="s">
        <v>72</v>
      </c>
      <c r="F10" s="6">
        <v>380</v>
      </c>
      <c r="G10" s="6"/>
      <c r="H10" s="16">
        <v>120</v>
      </c>
      <c r="I10" s="17">
        <f t="shared" si="0"/>
        <v>2</v>
      </c>
      <c r="J10" s="7">
        <f t="shared" si="1"/>
        <v>240</v>
      </c>
      <c r="K10" s="8">
        <v>80</v>
      </c>
      <c r="L10" s="8">
        <v>20</v>
      </c>
      <c r="M10" s="8">
        <v>20</v>
      </c>
      <c r="N10" s="8">
        <v>0</v>
      </c>
      <c r="O10" s="8">
        <v>80</v>
      </c>
      <c r="P10" s="7">
        <f t="shared" si="3"/>
        <v>440</v>
      </c>
      <c r="Q10" s="8">
        <v>591</v>
      </c>
      <c r="R10" s="7">
        <f t="shared" si="2"/>
        <v>151</v>
      </c>
      <c r="S10" s="4"/>
    </row>
    <row r="11" spans="1:19" x14ac:dyDescent="0.3">
      <c r="A11" s="3">
        <v>5</v>
      </c>
      <c r="B11" s="4" t="s">
        <v>40</v>
      </c>
      <c r="C11" s="4" t="s">
        <v>55</v>
      </c>
      <c r="D11" s="5" t="s">
        <v>65</v>
      </c>
      <c r="E11" s="4"/>
      <c r="F11" s="6">
        <v>0</v>
      </c>
      <c r="G11" s="6"/>
      <c r="H11" s="16">
        <v>0</v>
      </c>
      <c r="I11" s="17">
        <f t="shared" si="0"/>
        <v>2</v>
      </c>
      <c r="J11" s="7">
        <f t="shared" si="1"/>
        <v>0</v>
      </c>
      <c r="K11" s="8">
        <v>80</v>
      </c>
      <c r="L11" s="8">
        <v>20</v>
      </c>
      <c r="M11" s="8">
        <v>20</v>
      </c>
      <c r="N11" s="8">
        <v>0</v>
      </c>
      <c r="O11" s="8">
        <v>80</v>
      </c>
      <c r="P11" s="7">
        <f t="shared" si="3"/>
        <v>200</v>
      </c>
      <c r="Q11" s="8">
        <v>0</v>
      </c>
      <c r="R11" s="7">
        <f t="shared" si="2"/>
        <v>-200</v>
      </c>
      <c r="S11" s="4"/>
    </row>
    <row r="12" spans="1:19" x14ac:dyDescent="0.3">
      <c r="A12" s="3">
        <v>6</v>
      </c>
      <c r="B12" s="4" t="s">
        <v>41</v>
      </c>
      <c r="C12" s="4" t="s">
        <v>56</v>
      </c>
      <c r="D12" s="5" t="s">
        <v>65</v>
      </c>
      <c r="E12" s="4" t="s">
        <v>93</v>
      </c>
      <c r="F12" s="6">
        <v>520</v>
      </c>
      <c r="G12" s="6"/>
      <c r="H12" s="16">
        <v>160</v>
      </c>
      <c r="I12" s="17">
        <f t="shared" si="0"/>
        <v>2</v>
      </c>
      <c r="J12" s="7">
        <f t="shared" si="1"/>
        <v>320</v>
      </c>
      <c r="K12" s="8">
        <v>400</v>
      </c>
      <c r="L12" s="8">
        <v>20</v>
      </c>
      <c r="M12" s="8">
        <v>20</v>
      </c>
      <c r="N12" s="8">
        <v>0</v>
      </c>
      <c r="O12" s="8">
        <v>80</v>
      </c>
      <c r="P12" s="7">
        <f t="shared" si="3"/>
        <v>840</v>
      </c>
      <c r="Q12" s="8">
        <v>841</v>
      </c>
      <c r="R12" s="7">
        <f t="shared" si="2"/>
        <v>1</v>
      </c>
      <c r="S12" s="4"/>
    </row>
    <row r="13" spans="1:19" x14ac:dyDescent="0.3">
      <c r="A13" s="3">
        <v>7</v>
      </c>
      <c r="B13" s="4" t="s">
        <v>42</v>
      </c>
      <c r="C13" s="4" t="s">
        <v>57</v>
      </c>
      <c r="D13" s="5" t="s">
        <v>65</v>
      </c>
      <c r="E13" s="4" t="s">
        <v>94</v>
      </c>
      <c r="F13" s="6">
        <v>450</v>
      </c>
      <c r="G13" s="6"/>
      <c r="H13" s="16">
        <v>140</v>
      </c>
      <c r="I13" s="17">
        <f t="shared" si="0"/>
        <v>2</v>
      </c>
      <c r="J13" s="7">
        <f t="shared" si="1"/>
        <v>280</v>
      </c>
      <c r="K13" s="8">
        <v>400</v>
      </c>
      <c r="L13" s="8">
        <v>32</v>
      </c>
      <c r="M13" s="8">
        <v>20</v>
      </c>
      <c r="N13" s="8">
        <v>1546</v>
      </c>
      <c r="O13" s="8">
        <v>80</v>
      </c>
      <c r="P13" s="7">
        <f t="shared" si="3"/>
        <v>2358</v>
      </c>
      <c r="Q13" s="8">
        <v>590</v>
      </c>
      <c r="R13" s="7">
        <f t="shared" si="2"/>
        <v>-1768</v>
      </c>
      <c r="S13" s="4" t="s">
        <v>78</v>
      </c>
    </row>
    <row r="14" spans="1:19" x14ac:dyDescent="0.3">
      <c r="A14" s="3">
        <v>8</v>
      </c>
      <c r="B14" s="4" t="s">
        <v>43</v>
      </c>
      <c r="C14" s="4" t="s">
        <v>58</v>
      </c>
      <c r="D14" s="5" t="s">
        <v>65</v>
      </c>
      <c r="E14" s="28"/>
      <c r="F14" s="6">
        <v>0</v>
      </c>
      <c r="G14" s="6"/>
      <c r="H14" s="16">
        <v>0</v>
      </c>
      <c r="I14" s="17">
        <f t="shared" si="0"/>
        <v>2</v>
      </c>
      <c r="J14" s="7">
        <f t="shared" si="1"/>
        <v>0</v>
      </c>
      <c r="K14" s="8">
        <v>80</v>
      </c>
      <c r="L14" s="8">
        <v>20</v>
      </c>
      <c r="M14" s="8">
        <v>20</v>
      </c>
      <c r="N14" s="8">
        <v>0</v>
      </c>
      <c r="O14" s="8">
        <v>80</v>
      </c>
      <c r="P14" s="7">
        <f t="shared" si="3"/>
        <v>200</v>
      </c>
      <c r="Q14" s="8">
        <v>0</v>
      </c>
      <c r="R14" s="7">
        <f t="shared" si="2"/>
        <v>-200</v>
      </c>
      <c r="S14" s="4"/>
    </row>
    <row r="15" spans="1:19" x14ac:dyDescent="0.3">
      <c r="A15" s="3">
        <v>9</v>
      </c>
      <c r="B15" s="4" t="s">
        <v>44</v>
      </c>
      <c r="C15" s="4"/>
      <c r="D15" s="5" t="s">
        <v>65</v>
      </c>
      <c r="E15" s="28"/>
      <c r="F15" s="6">
        <v>0</v>
      </c>
      <c r="G15" s="6"/>
      <c r="H15" s="16">
        <v>0</v>
      </c>
      <c r="I15" s="17">
        <f t="shared" si="0"/>
        <v>2</v>
      </c>
      <c r="J15" s="7">
        <f t="shared" si="1"/>
        <v>0</v>
      </c>
      <c r="K15" s="8">
        <v>80</v>
      </c>
      <c r="L15" s="8">
        <v>20</v>
      </c>
      <c r="M15" s="8">
        <v>20</v>
      </c>
      <c r="N15" s="8">
        <v>0</v>
      </c>
      <c r="O15" s="8">
        <v>80</v>
      </c>
      <c r="P15" s="7">
        <f t="shared" si="3"/>
        <v>200</v>
      </c>
      <c r="Q15" s="8">
        <v>0</v>
      </c>
      <c r="R15" s="7">
        <f t="shared" si="2"/>
        <v>-200</v>
      </c>
      <c r="S15" s="4"/>
    </row>
    <row r="16" spans="1:19" x14ac:dyDescent="0.3">
      <c r="A16" s="3">
        <v>10</v>
      </c>
      <c r="B16" s="4" t="s">
        <v>45</v>
      </c>
      <c r="C16" s="4" t="s">
        <v>59</v>
      </c>
      <c r="D16" s="5" t="s">
        <v>65</v>
      </c>
      <c r="E16" s="4" t="s">
        <v>75</v>
      </c>
      <c r="F16" s="6">
        <v>0</v>
      </c>
      <c r="G16" s="6"/>
      <c r="H16" s="16">
        <v>0</v>
      </c>
      <c r="I16" s="17">
        <f t="shared" si="0"/>
        <v>2</v>
      </c>
      <c r="J16" s="7">
        <f t="shared" si="1"/>
        <v>0</v>
      </c>
      <c r="K16" s="8">
        <v>80</v>
      </c>
      <c r="L16" s="8">
        <v>20</v>
      </c>
      <c r="M16" s="8">
        <v>20</v>
      </c>
      <c r="N16" s="8">
        <v>0</v>
      </c>
      <c r="O16" s="8">
        <v>80</v>
      </c>
      <c r="P16" s="7">
        <f t="shared" si="3"/>
        <v>200</v>
      </c>
      <c r="Q16" s="8">
        <v>0</v>
      </c>
      <c r="R16" s="7">
        <f t="shared" si="2"/>
        <v>-200</v>
      </c>
      <c r="S16" s="4"/>
    </row>
    <row r="17" spans="1:19" x14ac:dyDescent="0.3">
      <c r="A17" s="3">
        <v>11</v>
      </c>
      <c r="B17" s="4" t="s">
        <v>46</v>
      </c>
      <c r="C17" s="4" t="s">
        <v>60</v>
      </c>
      <c r="D17" s="5" t="s">
        <v>65</v>
      </c>
      <c r="E17" s="28"/>
      <c r="F17" s="6">
        <v>0</v>
      </c>
      <c r="G17" s="6"/>
      <c r="H17" s="16">
        <v>0</v>
      </c>
      <c r="I17" s="17">
        <f t="shared" si="0"/>
        <v>2</v>
      </c>
      <c r="J17" s="7">
        <f t="shared" si="1"/>
        <v>0</v>
      </c>
      <c r="K17" s="8">
        <v>80</v>
      </c>
      <c r="L17" s="8">
        <v>20</v>
      </c>
      <c r="M17" s="8">
        <v>20</v>
      </c>
      <c r="N17" s="8">
        <v>0</v>
      </c>
      <c r="O17" s="8">
        <v>80</v>
      </c>
      <c r="P17" s="7">
        <f t="shared" si="3"/>
        <v>200</v>
      </c>
      <c r="Q17" s="8">
        <v>0</v>
      </c>
      <c r="R17" s="7">
        <f t="shared" si="2"/>
        <v>-200</v>
      </c>
      <c r="S17" s="4"/>
    </row>
    <row r="18" spans="1:19" x14ac:dyDescent="0.3">
      <c r="A18" s="3">
        <v>12</v>
      </c>
      <c r="B18" s="4" t="s">
        <v>47</v>
      </c>
      <c r="C18" s="4" t="s">
        <v>61</v>
      </c>
      <c r="D18" s="5" t="s">
        <v>66</v>
      </c>
      <c r="E18" s="4" t="s">
        <v>91</v>
      </c>
      <c r="F18" s="6">
        <v>320</v>
      </c>
      <c r="G18" s="6"/>
      <c r="H18" s="16">
        <v>120</v>
      </c>
      <c r="I18" s="17">
        <f t="shared" si="0"/>
        <v>2</v>
      </c>
      <c r="J18" s="7">
        <f t="shared" si="1"/>
        <v>240</v>
      </c>
      <c r="K18" s="8">
        <v>80</v>
      </c>
      <c r="L18" s="8">
        <v>20</v>
      </c>
      <c r="M18" s="8">
        <v>20</v>
      </c>
      <c r="N18" s="8">
        <v>0</v>
      </c>
      <c r="O18" s="8">
        <v>80</v>
      </c>
      <c r="P18" s="7">
        <f t="shared" si="3"/>
        <v>440</v>
      </c>
      <c r="Q18" s="8">
        <v>800</v>
      </c>
      <c r="R18" s="7">
        <f t="shared" si="2"/>
        <v>360</v>
      </c>
      <c r="S18" s="4"/>
    </row>
    <row r="19" spans="1:19" x14ac:dyDescent="0.3">
      <c r="A19" s="3">
        <v>13</v>
      </c>
      <c r="B19" s="4" t="s">
        <v>48</v>
      </c>
      <c r="C19" s="4" t="s">
        <v>62</v>
      </c>
      <c r="D19" s="5" t="s">
        <v>66</v>
      </c>
      <c r="E19" s="28"/>
      <c r="F19" s="6">
        <v>0</v>
      </c>
      <c r="G19" s="6"/>
      <c r="H19" s="16">
        <v>0</v>
      </c>
      <c r="I19" s="17">
        <f t="shared" si="0"/>
        <v>2</v>
      </c>
      <c r="J19" s="7">
        <f t="shared" si="1"/>
        <v>0</v>
      </c>
      <c r="K19" s="8">
        <v>80</v>
      </c>
      <c r="L19" s="8">
        <v>20</v>
      </c>
      <c r="M19" s="8">
        <v>20</v>
      </c>
      <c r="N19" s="8">
        <v>0</v>
      </c>
      <c r="O19" s="8">
        <v>80</v>
      </c>
      <c r="P19" s="7">
        <f t="shared" si="3"/>
        <v>200</v>
      </c>
      <c r="Q19" s="8">
        <v>0</v>
      </c>
      <c r="R19" s="7">
        <f t="shared" si="2"/>
        <v>-200</v>
      </c>
      <c r="S19" s="4"/>
    </row>
    <row r="20" spans="1:19" ht="28.8" x14ac:dyDescent="0.3">
      <c r="A20" s="3">
        <v>14</v>
      </c>
      <c r="B20" s="4" t="s">
        <v>49</v>
      </c>
      <c r="C20" s="4" t="s">
        <v>63</v>
      </c>
      <c r="D20" s="5" t="s">
        <v>66</v>
      </c>
      <c r="E20" s="4" t="s">
        <v>95</v>
      </c>
      <c r="F20" s="6">
        <v>200</v>
      </c>
      <c r="G20" s="6"/>
      <c r="H20" s="16">
        <v>60</v>
      </c>
      <c r="I20" s="17">
        <f t="shared" si="0"/>
        <v>2</v>
      </c>
      <c r="J20" s="7">
        <f t="shared" si="1"/>
        <v>120</v>
      </c>
      <c r="K20" s="8">
        <v>400</v>
      </c>
      <c r="L20" s="8">
        <v>32</v>
      </c>
      <c r="M20" s="8">
        <v>20</v>
      </c>
      <c r="N20" s="8">
        <v>0</v>
      </c>
      <c r="O20" s="8">
        <v>80</v>
      </c>
      <c r="P20" s="7">
        <f t="shared" si="3"/>
        <v>652</v>
      </c>
      <c r="Q20" s="8">
        <v>800</v>
      </c>
      <c r="R20" s="7">
        <f t="shared" si="2"/>
        <v>148</v>
      </c>
      <c r="S20" s="4"/>
    </row>
    <row r="21" spans="1:19" x14ac:dyDescent="0.3">
      <c r="A21" s="3">
        <v>15</v>
      </c>
      <c r="B21" s="4" t="s">
        <v>50</v>
      </c>
      <c r="C21" s="4" t="s">
        <v>64</v>
      </c>
      <c r="D21" s="5" t="s">
        <v>66</v>
      </c>
      <c r="E21" s="6" t="s">
        <v>96</v>
      </c>
      <c r="F21" s="6">
        <v>300</v>
      </c>
      <c r="G21" s="6"/>
      <c r="H21" s="16">
        <v>100</v>
      </c>
      <c r="I21" s="17">
        <f t="shared" si="0"/>
        <v>2</v>
      </c>
      <c r="J21" s="7">
        <f t="shared" si="1"/>
        <v>200</v>
      </c>
      <c r="K21" s="8">
        <v>400</v>
      </c>
      <c r="L21" s="8">
        <v>32</v>
      </c>
      <c r="M21" s="8">
        <v>20</v>
      </c>
      <c r="N21" s="8">
        <v>0</v>
      </c>
      <c r="O21" s="8">
        <v>80</v>
      </c>
      <c r="P21" s="7">
        <f t="shared" si="3"/>
        <v>732</v>
      </c>
      <c r="Q21" s="8">
        <v>960</v>
      </c>
      <c r="R21" s="7">
        <f t="shared" si="2"/>
        <v>228</v>
      </c>
      <c r="S21" s="4"/>
    </row>
    <row r="22" spans="1:19" x14ac:dyDescent="0.3">
      <c r="A22" s="3">
        <v>16</v>
      </c>
      <c r="B22" s="4"/>
      <c r="C22" s="4"/>
      <c r="D22" s="5"/>
      <c r="E22" s="4"/>
      <c r="F22" s="6"/>
      <c r="G22" s="6"/>
      <c r="H22" s="16"/>
      <c r="I22" s="17">
        <f t="shared" si="0"/>
        <v>2</v>
      </c>
      <c r="J22" s="7">
        <f t="shared" si="1"/>
        <v>0</v>
      </c>
      <c r="K22" s="8"/>
      <c r="L22" s="8">
        <v>0</v>
      </c>
      <c r="M22" s="8">
        <v>0</v>
      </c>
      <c r="N22" s="8">
        <v>0</v>
      </c>
      <c r="O22" s="8">
        <v>0</v>
      </c>
      <c r="P22" s="7">
        <f t="shared" si="3"/>
        <v>0</v>
      </c>
      <c r="Q22" s="8">
        <v>0</v>
      </c>
      <c r="R22" s="7">
        <f t="shared" si="2"/>
        <v>0</v>
      </c>
      <c r="S22" s="4"/>
    </row>
    <row r="23" spans="1:19" x14ac:dyDescent="0.3">
      <c r="A23" s="3">
        <v>17</v>
      </c>
      <c r="B23" s="4"/>
      <c r="C23" s="4"/>
      <c r="D23" s="5"/>
      <c r="E23" s="4"/>
      <c r="F23" s="6"/>
      <c r="G23" s="6"/>
      <c r="H23" s="16"/>
      <c r="I23" s="17">
        <f t="shared" si="0"/>
        <v>2</v>
      </c>
      <c r="J23" s="7">
        <f t="shared" si="1"/>
        <v>0</v>
      </c>
      <c r="K23" s="8"/>
      <c r="L23" s="8">
        <v>0</v>
      </c>
      <c r="M23" s="8">
        <v>0</v>
      </c>
      <c r="N23" s="8">
        <v>0</v>
      </c>
      <c r="O23" s="8">
        <v>0</v>
      </c>
      <c r="P23" s="7">
        <f t="shared" si="3"/>
        <v>0</v>
      </c>
      <c r="Q23" s="8">
        <v>0</v>
      </c>
      <c r="R23" s="7">
        <f t="shared" si="2"/>
        <v>0</v>
      </c>
      <c r="S23" s="4"/>
    </row>
    <row r="24" spans="1:19" x14ac:dyDescent="0.3">
      <c r="A24" s="3">
        <v>18</v>
      </c>
      <c r="B24" s="4"/>
      <c r="C24" s="4"/>
      <c r="D24" s="5"/>
      <c r="E24" s="4"/>
      <c r="F24" s="6"/>
      <c r="G24" s="6"/>
      <c r="H24" s="16"/>
      <c r="I24" s="17">
        <f t="shared" si="0"/>
        <v>2</v>
      </c>
      <c r="J24" s="7">
        <f t="shared" si="1"/>
        <v>0</v>
      </c>
      <c r="K24" s="8"/>
      <c r="L24" s="8">
        <v>0</v>
      </c>
      <c r="M24" s="8">
        <v>0</v>
      </c>
      <c r="N24" s="8"/>
      <c r="O24" s="8">
        <v>0</v>
      </c>
      <c r="P24" s="7">
        <f t="shared" si="3"/>
        <v>0</v>
      </c>
      <c r="Q24" s="8"/>
      <c r="R24" s="7" t="str">
        <f t="shared" si="2"/>
        <v/>
      </c>
      <c r="S24" s="4"/>
    </row>
    <row r="25" spans="1:19" ht="4.8" customHeight="1" x14ac:dyDescent="0.3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19" ht="16.05" customHeight="1" x14ac:dyDescent="0.3">
      <c r="A26" s="19" t="s">
        <v>23</v>
      </c>
      <c r="B26" s="20"/>
      <c r="C26" s="20"/>
      <c r="D26" s="20"/>
      <c r="E26" s="21"/>
      <c r="F26" s="11">
        <f>SUM(F7:F24)</f>
        <v>2680</v>
      </c>
      <c r="G26" s="10"/>
      <c r="H26" s="18">
        <f>SUM(H7:H24)</f>
        <v>850</v>
      </c>
      <c r="I26" s="10"/>
      <c r="J26" s="12">
        <f>SUM(J7:J24)</f>
        <v>1700</v>
      </c>
      <c r="K26" s="29">
        <f>SUM(K7:K21)</f>
        <v>3120</v>
      </c>
      <c r="L26" s="29">
        <f>SUM(L7:L21)</f>
        <v>360</v>
      </c>
      <c r="M26" s="29">
        <f t="shared" ref="M26:O26" si="4">SUM(M7:M21)</f>
        <v>300</v>
      </c>
      <c r="N26" s="29">
        <f>SUM(N7:N23)</f>
        <v>1546</v>
      </c>
      <c r="O26" s="29">
        <f t="shared" si="4"/>
        <v>1200</v>
      </c>
      <c r="P26" s="12">
        <f>SUM(P7:P24)</f>
        <v>8226</v>
      </c>
      <c r="Q26" s="12">
        <f>SUM(Q7:Q24)</f>
        <v>5407</v>
      </c>
      <c r="R26" s="12">
        <f>SUM(R7:R24)</f>
        <v>-2819</v>
      </c>
      <c r="S26" s="10"/>
    </row>
    <row r="27" spans="1:19" ht="24" customHeight="1" x14ac:dyDescent="0.3">
      <c r="F27" s="13" t="s">
        <v>24</v>
      </c>
      <c r="H27" s="13" t="s">
        <v>25</v>
      </c>
      <c r="J27" s="13" t="s">
        <v>26</v>
      </c>
      <c r="K27" s="32" t="s">
        <v>79</v>
      </c>
      <c r="L27" s="30" t="s">
        <v>80</v>
      </c>
      <c r="M27" s="32" t="s">
        <v>81</v>
      </c>
      <c r="N27" s="31" t="s">
        <v>82</v>
      </c>
      <c r="O27" s="32" t="s">
        <v>83</v>
      </c>
      <c r="P27" s="13" t="s">
        <v>27</v>
      </c>
      <c r="Q27" s="13" t="s">
        <v>28</v>
      </c>
      <c r="R27" s="13" t="s">
        <v>29</v>
      </c>
    </row>
  </sheetData>
  <mergeCells count="6">
    <mergeCell ref="A1:S1"/>
    <mergeCell ref="A3:B3"/>
    <mergeCell ref="D3:E3"/>
    <mergeCell ref="G3:H3"/>
    <mergeCell ref="A4:S4"/>
    <mergeCell ref="A26:E26"/>
  </mergeCells>
  <conditionalFormatting sqref="R7:R24">
    <cfRule type="cellIs" dxfId="5" priority="1" operator="less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topLeftCell="B1" zoomScale="80" zoomScaleNormal="80" workbookViewId="0">
      <selection activeCell="K22" sqref="K22"/>
    </sheetView>
  </sheetViews>
  <sheetFormatPr baseColWidth="10" defaultColWidth="8.88671875" defaultRowHeight="14.4" x14ac:dyDescent="0.3"/>
  <cols>
    <col min="1" max="1" width="4" customWidth="1"/>
    <col min="2" max="2" width="16" customWidth="1"/>
    <col min="3" max="3" width="12" customWidth="1"/>
    <col min="4" max="5" width="18" customWidth="1"/>
    <col min="6" max="7" width="10" customWidth="1"/>
    <col min="8" max="8" width="20" customWidth="1"/>
    <col min="9" max="9" width="8" customWidth="1"/>
    <col min="10" max="10" width="18.109375" customWidth="1"/>
    <col min="11" max="11" width="13.6640625" customWidth="1"/>
    <col min="12" max="12" width="14" customWidth="1"/>
    <col min="13" max="14" width="12" customWidth="1"/>
    <col min="15" max="15" width="15" customWidth="1"/>
    <col min="16" max="17" width="12" customWidth="1"/>
    <col min="18" max="18" width="20" customWidth="1"/>
    <col min="19" max="19" width="18" customWidth="1"/>
  </cols>
  <sheetData>
    <row r="1" spans="1:19" ht="22.35" customHeight="1" x14ac:dyDescent="0.3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</row>
    <row r="2" spans="1:19" x14ac:dyDescent="0.3">
      <c r="B2" t="s">
        <v>69</v>
      </c>
    </row>
    <row r="3" spans="1:19" ht="14.4" customHeight="1" x14ac:dyDescent="0.3">
      <c r="A3" s="25" t="s">
        <v>1</v>
      </c>
      <c r="B3" s="23"/>
      <c r="C3" s="14">
        <v>46058</v>
      </c>
      <c r="D3" s="24" t="s">
        <v>2</v>
      </c>
      <c r="E3" s="23"/>
      <c r="F3" s="15">
        <v>2</v>
      </c>
      <c r="G3" s="25" t="s">
        <v>3</v>
      </c>
      <c r="H3" s="23"/>
      <c r="I3" s="1" t="s">
        <v>4</v>
      </c>
    </row>
    <row r="4" spans="1:19" ht="14.4" customHeight="1" x14ac:dyDescent="0.3">
      <c r="A4" s="26" t="s">
        <v>5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</row>
    <row r="5" spans="1:19" ht="9" customHeight="1" x14ac:dyDescent="0.3"/>
    <row r="6" spans="1:19" ht="40.799999999999997" customHeight="1" x14ac:dyDescent="0.3">
      <c r="A6" s="2" t="s">
        <v>6</v>
      </c>
      <c r="B6" s="2" t="s">
        <v>7</v>
      </c>
      <c r="C6" s="2" t="s">
        <v>8</v>
      </c>
      <c r="D6" s="2" t="s">
        <v>9</v>
      </c>
      <c r="E6" s="2" t="s">
        <v>10</v>
      </c>
      <c r="F6" s="2" t="s">
        <v>11</v>
      </c>
      <c r="G6" s="2" t="s">
        <v>12</v>
      </c>
      <c r="H6" s="2" t="s">
        <v>67</v>
      </c>
      <c r="I6" s="2" t="s">
        <v>13</v>
      </c>
      <c r="J6" s="2" t="s">
        <v>14</v>
      </c>
      <c r="K6" s="2" t="s">
        <v>15</v>
      </c>
      <c r="L6" s="2" t="s">
        <v>16</v>
      </c>
      <c r="M6" s="2" t="s">
        <v>17</v>
      </c>
      <c r="N6" s="2" t="s">
        <v>68</v>
      </c>
      <c r="O6" s="2" t="s">
        <v>18</v>
      </c>
      <c r="P6" s="2" t="s">
        <v>19</v>
      </c>
      <c r="Q6" s="2" t="s">
        <v>20</v>
      </c>
      <c r="R6" s="2" t="s">
        <v>21</v>
      </c>
      <c r="S6" s="2" t="s">
        <v>22</v>
      </c>
    </row>
    <row r="7" spans="1:19" x14ac:dyDescent="0.3">
      <c r="A7" s="3">
        <v>1</v>
      </c>
      <c r="B7" s="4" t="s">
        <v>36</v>
      </c>
      <c r="C7" s="4" t="s">
        <v>51</v>
      </c>
      <c r="D7" s="5" t="s">
        <v>65</v>
      </c>
      <c r="E7" s="4" t="s">
        <v>70</v>
      </c>
      <c r="F7" s="6">
        <v>0</v>
      </c>
      <c r="G7" s="6"/>
      <c r="H7" s="16">
        <v>0</v>
      </c>
      <c r="I7" s="17">
        <f t="shared" ref="I7:I24" si="0">$F$3</f>
        <v>2</v>
      </c>
      <c r="J7" s="7">
        <f t="shared" ref="J7:J24" si="1">IF(OR(H7="",I7=""),0,H7*I7)</f>
        <v>0</v>
      </c>
      <c r="K7" s="8">
        <v>400</v>
      </c>
      <c r="L7" s="8">
        <v>32</v>
      </c>
      <c r="M7" s="8">
        <v>20</v>
      </c>
      <c r="N7" s="8">
        <v>0</v>
      </c>
      <c r="O7" s="8">
        <v>80</v>
      </c>
      <c r="P7" s="7">
        <f>J7+N(K7)+N(L7)+N(M7)+N(O7)+N7</f>
        <v>532</v>
      </c>
      <c r="Q7" s="8">
        <v>0</v>
      </c>
      <c r="R7" s="7">
        <f t="shared" ref="R7:R24" si="2">IF(Q7="","",N(Q7)-P7)</f>
        <v>-532</v>
      </c>
      <c r="S7" s="4"/>
    </row>
    <row r="8" spans="1:19" ht="28.8" x14ac:dyDescent="0.3">
      <c r="A8" s="3">
        <v>2</v>
      </c>
      <c r="B8" s="4" t="s">
        <v>37</v>
      </c>
      <c r="C8" s="4" t="s">
        <v>52</v>
      </c>
      <c r="D8" s="5" t="s">
        <v>65</v>
      </c>
      <c r="E8" s="4" t="s">
        <v>70</v>
      </c>
      <c r="F8" s="6">
        <v>0</v>
      </c>
      <c r="G8" s="6"/>
      <c r="H8" s="16">
        <v>0</v>
      </c>
      <c r="I8" s="17">
        <f t="shared" si="0"/>
        <v>2</v>
      </c>
      <c r="J8" s="7">
        <f t="shared" si="1"/>
        <v>0</v>
      </c>
      <c r="K8" s="8">
        <v>400</v>
      </c>
      <c r="L8" s="8">
        <v>32</v>
      </c>
      <c r="M8" s="8">
        <v>20</v>
      </c>
      <c r="N8" s="8">
        <v>0</v>
      </c>
      <c r="O8" s="8">
        <v>80</v>
      </c>
      <c r="P8" s="7">
        <f t="shared" ref="P8:P24" si="3">J8+N(K8)+N(L8)+N(M8)+N(O8)+N8</f>
        <v>532</v>
      </c>
      <c r="Q8" s="8">
        <v>0</v>
      </c>
      <c r="R8" s="7">
        <f t="shared" si="2"/>
        <v>-532</v>
      </c>
      <c r="S8" s="4"/>
    </row>
    <row r="9" spans="1:19" x14ac:dyDescent="0.3">
      <c r="A9" s="3">
        <v>3</v>
      </c>
      <c r="B9" s="4" t="s">
        <v>38</v>
      </c>
      <c r="C9" s="4" t="s">
        <v>53</v>
      </c>
      <c r="D9" s="5" t="s">
        <v>65</v>
      </c>
      <c r="E9" s="4" t="s">
        <v>71</v>
      </c>
      <c r="F9" s="6">
        <v>0</v>
      </c>
      <c r="G9" s="6"/>
      <c r="H9" s="16">
        <v>0</v>
      </c>
      <c r="I9" s="17">
        <f t="shared" si="0"/>
        <v>2</v>
      </c>
      <c r="J9" s="7">
        <f t="shared" si="1"/>
        <v>0</v>
      </c>
      <c r="K9" s="8">
        <v>80</v>
      </c>
      <c r="L9" s="8">
        <v>20</v>
      </c>
      <c r="M9" s="8">
        <v>20</v>
      </c>
      <c r="N9" s="8">
        <v>0</v>
      </c>
      <c r="O9" s="8">
        <v>80</v>
      </c>
      <c r="P9" s="7">
        <f t="shared" si="3"/>
        <v>200</v>
      </c>
      <c r="Q9" s="8">
        <v>0</v>
      </c>
      <c r="R9" s="7">
        <f t="shared" si="2"/>
        <v>-200</v>
      </c>
      <c r="S9" s="4"/>
    </row>
    <row r="10" spans="1:19" x14ac:dyDescent="0.3">
      <c r="A10" s="3">
        <v>4</v>
      </c>
      <c r="B10" s="4" t="s">
        <v>39</v>
      </c>
      <c r="C10" s="4" t="s">
        <v>54</v>
      </c>
      <c r="D10" s="5" t="s">
        <v>65</v>
      </c>
      <c r="E10" s="4" t="s">
        <v>72</v>
      </c>
      <c r="F10" s="6">
        <v>0</v>
      </c>
      <c r="G10" s="6"/>
      <c r="H10" s="16">
        <v>0</v>
      </c>
      <c r="I10" s="17">
        <f t="shared" si="0"/>
        <v>2</v>
      </c>
      <c r="J10" s="7">
        <f t="shared" si="1"/>
        <v>0</v>
      </c>
      <c r="K10" s="8">
        <v>80</v>
      </c>
      <c r="L10" s="8">
        <v>20</v>
      </c>
      <c r="M10" s="8">
        <v>20</v>
      </c>
      <c r="N10" s="8">
        <v>0</v>
      </c>
      <c r="O10" s="8">
        <v>80</v>
      </c>
      <c r="P10" s="7">
        <f t="shared" si="3"/>
        <v>200</v>
      </c>
      <c r="Q10" s="8">
        <v>0</v>
      </c>
      <c r="R10" s="7">
        <f t="shared" si="2"/>
        <v>-200</v>
      </c>
      <c r="S10" s="4"/>
    </row>
    <row r="11" spans="1:19" x14ac:dyDescent="0.3">
      <c r="A11" s="3">
        <v>5</v>
      </c>
      <c r="B11" s="4" t="s">
        <v>40</v>
      </c>
      <c r="C11" s="4" t="s">
        <v>55</v>
      </c>
      <c r="D11" s="5" t="s">
        <v>65</v>
      </c>
      <c r="E11" s="4" t="s">
        <v>73</v>
      </c>
      <c r="F11" s="6">
        <v>0</v>
      </c>
      <c r="G11" s="6"/>
      <c r="H11" s="16">
        <v>0</v>
      </c>
      <c r="I11" s="17">
        <f t="shared" si="0"/>
        <v>2</v>
      </c>
      <c r="J11" s="7">
        <f t="shared" si="1"/>
        <v>0</v>
      </c>
      <c r="K11" s="8">
        <v>80</v>
      </c>
      <c r="L11" s="8">
        <v>20</v>
      </c>
      <c r="M11" s="8">
        <v>20</v>
      </c>
      <c r="N11" s="8">
        <v>0</v>
      </c>
      <c r="O11" s="8">
        <v>80</v>
      </c>
      <c r="P11" s="7">
        <f t="shared" si="3"/>
        <v>200</v>
      </c>
      <c r="Q11" s="8">
        <v>0</v>
      </c>
      <c r="R11" s="7">
        <f t="shared" si="2"/>
        <v>-200</v>
      </c>
      <c r="S11" s="4"/>
    </row>
    <row r="12" spans="1:19" x14ac:dyDescent="0.3">
      <c r="A12" s="3">
        <v>6</v>
      </c>
      <c r="B12" s="4" t="s">
        <v>41</v>
      </c>
      <c r="C12" s="4" t="s">
        <v>56</v>
      </c>
      <c r="D12" s="5" t="s">
        <v>65</v>
      </c>
      <c r="E12" s="4" t="s">
        <v>74</v>
      </c>
      <c r="F12" s="6">
        <v>0</v>
      </c>
      <c r="G12" s="6"/>
      <c r="H12" s="16">
        <v>0</v>
      </c>
      <c r="I12" s="17">
        <f t="shared" si="0"/>
        <v>2</v>
      </c>
      <c r="J12" s="7">
        <f t="shared" si="1"/>
        <v>0</v>
      </c>
      <c r="K12" s="8">
        <v>400</v>
      </c>
      <c r="L12" s="8">
        <v>20</v>
      </c>
      <c r="M12" s="8">
        <v>20</v>
      </c>
      <c r="N12" s="8">
        <v>0</v>
      </c>
      <c r="O12" s="8">
        <v>80</v>
      </c>
      <c r="P12" s="7">
        <f t="shared" si="3"/>
        <v>520</v>
      </c>
      <c r="Q12" s="8">
        <v>0</v>
      </c>
      <c r="R12" s="7">
        <f t="shared" si="2"/>
        <v>-520</v>
      </c>
      <c r="S12" s="4"/>
    </row>
    <row r="13" spans="1:19" x14ac:dyDescent="0.3">
      <c r="A13" s="3">
        <v>7</v>
      </c>
      <c r="B13" s="4" t="s">
        <v>42</v>
      </c>
      <c r="C13" s="4" t="s">
        <v>57</v>
      </c>
      <c r="D13" s="5" t="s">
        <v>65</v>
      </c>
      <c r="E13" s="4" t="s">
        <v>70</v>
      </c>
      <c r="F13" s="6">
        <v>0</v>
      </c>
      <c r="G13" s="6"/>
      <c r="H13" s="16">
        <v>0</v>
      </c>
      <c r="I13" s="17">
        <f t="shared" si="0"/>
        <v>2</v>
      </c>
      <c r="J13" s="7">
        <f t="shared" si="1"/>
        <v>0</v>
      </c>
      <c r="K13" s="8">
        <v>400</v>
      </c>
      <c r="L13" s="8">
        <v>32</v>
      </c>
      <c r="M13" s="8">
        <v>20</v>
      </c>
      <c r="N13" s="8">
        <v>0</v>
      </c>
      <c r="O13" s="8">
        <v>80</v>
      </c>
      <c r="P13" s="7">
        <f t="shared" si="3"/>
        <v>532</v>
      </c>
      <c r="Q13" s="8">
        <v>0</v>
      </c>
      <c r="R13" s="7">
        <f t="shared" si="2"/>
        <v>-532</v>
      </c>
      <c r="S13" s="4"/>
    </row>
    <row r="14" spans="1:19" x14ac:dyDescent="0.3">
      <c r="A14" s="3">
        <v>8</v>
      </c>
      <c r="B14" s="4" t="s">
        <v>43</v>
      </c>
      <c r="C14" s="4" t="s">
        <v>58</v>
      </c>
      <c r="D14" s="5" t="s">
        <v>65</v>
      </c>
      <c r="E14" s="28"/>
      <c r="F14" s="6">
        <v>0</v>
      </c>
      <c r="G14" s="6"/>
      <c r="H14" s="16">
        <v>0</v>
      </c>
      <c r="I14" s="17">
        <f t="shared" si="0"/>
        <v>2</v>
      </c>
      <c r="J14" s="7">
        <f t="shared" si="1"/>
        <v>0</v>
      </c>
      <c r="K14" s="8">
        <v>80</v>
      </c>
      <c r="L14" s="8">
        <v>20</v>
      </c>
      <c r="M14" s="8">
        <v>20</v>
      </c>
      <c r="N14" s="8">
        <v>0</v>
      </c>
      <c r="O14" s="8">
        <v>80</v>
      </c>
      <c r="P14" s="7">
        <f t="shared" si="3"/>
        <v>200</v>
      </c>
      <c r="Q14" s="8">
        <v>0</v>
      </c>
      <c r="R14" s="7">
        <f t="shared" si="2"/>
        <v>-200</v>
      </c>
      <c r="S14" s="4"/>
    </row>
    <row r="15" spans="1:19" x14ac:dyDescent="0.3">
      <c r="A15" s="3">
        <v>9</v>
      </c>
      <c r="B15" s="4" t="s">
        <v>44</v>
      </c>
      <c r="C15" s="4"/>
      <c r="D15" s="5" t="s">
        <v>65</v>
      </c>
      <c r="E15" s="28"/>
      <c r="F15" s="6">
        <v>0</v>
      </c>
      <c r="G15" s="6"/>
      <c r="H15" s="16">
        <v>0</v>
      </c>
      <c r="I15" s="17">
        <f t="shared" si="0"/>
        <v>2</v>
      </c>
      <c r="J15" s="7">
        <f t="shared" si="1"/>
        <v>0</v>
      </c>
      <c r="K15" s="8">
        <v>80</v>
      </c>
      <c r="L15" s="8">
        <v>20</v>
      </c>
      <c r="M15" s="8">
        <v>20</v>
      </c>
      <c r="N15" s="8">
        <v>0</v>
      </c>
      <c r="O15" s="8">
        <v>80</v>
      </c>
      <c r="P15" s="7">
        <f t="shared" si="3"/>
        <v>200</v>
      </c>
      <c r="Q15" s="8">
        <v>0</v>
      </c>
      <c r="R15" s="7">
        <f t="shared" si="2"/>
        <v>-200</v>
      </c>
      <c r="S15" s="4"/>
    </row>
    <row r="16" spans="1:19" x14ac:dyDescent="0.3">
      <c r="A16" s="3">
        <v>10</v>
      </c>
      <c r="B16" s="4" t="s">
        <v>45</v>
      </c>
      <c r="C16" s="4" t="s">
        <v>59</v>
      </c>
      <c r="D16" s="5" t="s">
        <v>65</v>
      </c>
      <c r="E16" s="4" t="s">
        <v>75</v>
      </c>
      <c r="F16" s="6">
        <v>0</v>
      </c>
      <c r="G16" s="6"/>
      <c r="H16" s="16">
        <v>0</v>
      </c>
      <c r="I16" s="17">
        <f t="shared" si="0"/>
        <v>2</v>
      </c>
      <c r="J16" s="7">
        <f t="shared" si="1"/>
        <v>0</v>
      </c>
      <c r="K16" s="8">
        <v>80</v>
      </c>
      <c r="L16" s="8">
        <v>20</v>
      </c>
      <c r="M16" s="8">
        <v>20</v>
      </c>
      <c r="N16" s="8">
        <v>0</v>
      </c>
      <c r="O16" s="8">
        <v>80</v>
      </c>
      <c r="P16" s="7">
        <f t="shared" si="3"/>
        <v>200</v>
      </c>
      <c r="Q16" s="8">
        <v>0</v>
      </c>
      <c r="R16" s="7">
        <f t="shared" si="2"/>
        <v>-200</v>
      </c>
      <c r="S16" s="4"/>
    </row>
    <row r="17" spans="1:19" x14ac:dyDescent="0.3">
      <c r="A17" s="3">
        <v>11</v>
      </c>
      <c r="B17" s="4" t="s">
        <v>46</v>
      </c>
      <c r="C17" s="4" t="s">
        <v>60</v>
      </c>
      <c r="D17" s="5" t="s">
        <v>65</v>
      </c>
      <c r="E17" s="28"/>
      <c r="F17" s="6">
        <v>0</v>
      </c>
      <c r="G17" s="6"/>
      <c r="H17" s="16">
        <v>0</v>
      </c>
      <c r="I17" s="17">
        <f t="shared" si="0"/>
        <v>2</v>
      </c>
      <c r="J17" s="7">
        <f t="shared" si="1"/>
        <v>0</v>
      </c>
      <c r="K17" s="8">
        <v>80</v>
      </c>
      <c r="L17" s="8">
        <v>20</v>
      </c>
      <c r="M17" s="8">
        <v>20</v>
      </c>
      <c r="N17" s="8">
        <v>0</v>
      </c>
      <c r="O17" s="8">
        <v>80</v>
      </c>
      <c r="P17" s="7">
        <f t="shared" si="3"/>
        <v>200</v>
      </c>
      <c r="Q17" s="8">
        <v>0</v>
      </c>
      <c r="R17" s="7">
        <f t="shared" si="2"/>
        <v>-200</v>
      </c>
      <c r="S17" s="4"/>
    </row>
    <row r="18" spans="1:19" x14ac:dyDescent="0.3">
      <c r="A18" s="3">
        <v>12</v>
      </c>
      <c r="B18" s="4" t="s">
        <v>47</v>
      </c>
      <c r="C18" s="4" t="s">
        <v>61</v>
      </c>
      <c r="D18" s="5" t="s">
        <v>66</v>
      </c>
      <c r="E18" s="4" t="s">
        <v>76</v>
      </c>
      <c r="F18" s="6">
        <v>0</v>
      </c>
      <c r="G18" s="6"/>
      <c r="H18" s="16">
        <v>0</v>
      </c>
      <c r="I18" s="17">
        <f t="shared" si="0"/>
        <v>2</v>
      </c>
      <c r="J18" s="7">
        <f t="shared" si="1"/>
        <v>0</v>
      </c>
      <c r="K18" s="8">
        <v>80</v>
      </c>
      <c r="L18" s="8">
        <v>20</v>
      </c>
      <c r="M18" s="8">
        <v>20</v>
      </c>
      <c r="N18" s="8">
        <v>0</v>
      </c>
      <c r="O18" s="8">
        <v>80</v>
      </c>
      <c r="P18" s="7">
        <f t="shared" si="3"/>
        <v>200</v>
      </c>
      <c r="Q18" s="8">
        <v>0</v>
      </c>
      <c r="R18" s="7">
        <f t="shared" si="2"/>
        <v>-200</v>
      </c>
      <c r="S18" s="4"/>
    </row>
    <row r="19" spans="1:19" x14ac:dyDescent="0.3">
      <c r="A19" s="3">
        <v>13</v>
      </c>
      <c r="B19" s="4" t="s">
        <v>48</v>
      </c>
      <c r="C19" s="4" t="s">
        <v>62</v>
      </c>
      <c r="D19" s="5" t="s">
        <v>66</v>
      </c>
      <c r="E19" s="28"/>
      <c r="F19" s="6">
        <v>0</v>
      </c>
      <c r="G19" s="6"/>
      <c r="H19" s="16">
        <v>0</v>
      </c>
      <c r="I19" s="17">
        <f t="shared" si="0"/>
        <v>2</v>
      </c>
      <c r="J19" s="7">
        <f t="shared" si="1"/>
        <v>0</v>
      </c>
      <c r="K19" s="8">
        <v>80</v>
      </c>
      <c r="L19" s="8">
        <v>20</v>
      </c>
      <c r="M19" s="8">
        <v>20</v>
      </c>
      <c r="N19" s="8">
        <v>0</v>
      </c>
      <c r="O19" s="8">
        <v>80</v>
      </c>
      <c r="P19" s="7">
        <f t="shared" si="3"/>
        <v>200</v>
      </c>
      <c r="Q19" s="8">
        <v>0</v>
      </c>
      <c r="R19" s="7">
        <f t="shared" si="2"/>
        <v>-200</v>
      </c>
      <c r="S19" s="4"/>
    </row>
    <row r="20" spans="1:19" ht="28.8" x14ac:dyDescent="0.3">
      <c r="A20" s="3">
        <v>14</v>
      </c>
      <c r="B20" s="4" t="s">
        <v>49</v>
      </c>
      <c r="C20" s="4" t="s">
        <v>63</v>
      </c>
      <c r="D20" s="5" t="s">
        <v>66</v>
      </c>
      <c r="E20" s="4" t="s">
        <v>77</v>
      </c>
      <c r="F20" s="6">
        <v>0</v>
      </c>
      <c r="G20" s="6"/>
      <c r="H20" s="16">
        <v>0</v>
      </c>
      <c r="I20" s="17">
        <f t="shared" si="0"/>
        <v>2</v>
      </c>
      <c r="J20" s="7">
        <f t="shared" si="1"/>
        <v>0</v>
      </c>
      <c r="K20" s="8">
        <v>400</v>
      </c>
      <c r="L20" s="8">
        <v>32</v>
      </c>
      <c r="M20" s="8">
        <v>20</v>
      </c>
      <c r="N20" s="8">
        <v>0</v>
      </c>
      <c r="O20" s="8">
        <v>80</v>
      </c>
      <c r="P20" s="7">
        <f t="shared" si="3"/>
        <v>532</v>
      </c>
      <c r="Q20" s="8">
        <v>0</v>
      </c>
      <c r="R20" s="7">
        <f t="shared" si="2"/>
        <v>-532</v>
      </c>
      <c r="S20" s="4"/>
    </row>
    <row r="21" spans="1:19" x14ac:dyDescent="0.3">
      <c r="A21" s="3">
        <v>15</v>
      </c>
      <c r="B21" s="4" t="s">
        <v>50</v>
      </c>
      <c r="C21" s="4" t="s">
        <v>64</v>
      </c>
      <c r="D21" s="5" t="s">
        <v>66</v>
      </c>
      <c r="E21" s="4" t="s">
        <v>77</v>
      </c>
      <c r="F21" s="6">
        <v>0</v>
      </c>
      <c r="G21" s="6"/>
      <c r="H21" s="16">
        <v>0</v>
      </c>
      <c r="I21" s="17">
        <f t="shared" si="0"/>
        <v>2</v>
      </c>
      <c r="J21" s="7">
        <f t="shared" si="1"/>
        <v>0</v>
      </c>
      <c r="K21" s="8">
        <v>400</v>
      </c>
      <c r="L21" s="8">
        <v>32</v>
      </c>
      <c r="M21" s="8">
        <v>20</v>
      </c>
      <c r="N21" s="8">
        <v>0</v>
      </c>
      <c r="O21" s="8">
        <v>80</v>
      </c>
      <c r="P21" s="7">
        <f t="shared" si="3"/>
        <v>532</v>
      </c>
      <c r="Q21" s="8">
        <v>0</v>
      </c>
      <c r="R21" s="7">
        <f t="shared" si="2"/>
        <v>-532</v>
      </c>
      <c r="S21" s="4"/>
    </row>
    <row r="22" spans="1:19" x14ac:dyDescent="0.3">
      <c r="A22" s="3">
        <v>16</v>
      </c>
      <c r="B22" s="4"/>
      <c r="C22" s="4"/>
      <c r="D22" s="5"/>
      <c r="E22" s="4"/>
      <c r="F22" s="6"/>
      <c r="G22" s="6"/>
      <c r="H22" s="16"/>
      <c r="I22" s="17">
        <f t="shared" si="0"/>
        <v>2</v>
      </c>
      <c r="J22" s="7">
        <f t="shared" si="1"/>
        <v>0</v>
      </c>
      <c r="K22" s="8"/>
      <c r="L22" s="8">
        <v>0</v>
      </c>
      <c r="M22" s="8">
        <v>0</v>
      </c>
      <c r="N22" s="8">
        <v>0</v>
      </c>
      <c r="O22" s="8">
        <v>0</v>
      </c>
      <c r="P22" s="7">
        <f t="shared" si="3"/>
        <v>0</v>
      </c>
      <c r="Q22" s="8">
        <v>0</v>
      </c>
      <c r="R22" s="7">
        <f t="shared" si="2"/>
        <v>0</v>
      </c>
      <c r="S22" s="4"/>
    </row>
    <row r="23" spans="1:19" x14ac:dyDescent="0.3">
      <c r="A23" s="3">
        <v>17</v>
      </c>
      <c r="B23" s="4"/>
      <c r="C23" s="4"/>
      <c r="D23" s="5"/>
      <c r="E23" s="4"/>
      <c r="F23" s="6"/>
      <c r="G23" s="6"/>
      <c r="H23" s="16"/>
      <c r="I23" s="17">
        <f t="shared" si="0"/>
        <v>2</v>
      </c>
      <c r="J23" s="7">
        <f t="shared" si="1"/>
        <v>0</v>
      </c>
      <c r="K23" s="8"/>
      <c r="L23" s="8">
        <v>0</v>
      </c>
      <c r="M23" s="8">
        <v>0</v>
      </c>
      <c r="N23" s="8">
        <v>0</v>
      </c>
      <c r="O23" s="8">
        <v>0</v>
      </c>
      <c r="P23" s="7">
        <f t="shared" si="3"/>
        <v>0</v>
      </c>
      <c r="Q23" s="8">
        <v>0</v>
      </c>
      <c r="R23" s="7">
        <f t="shared" si="2"/>
        <v>0</v>
      </c>
      <c r="S23" s="4"/>
    </row>
    <row r="24" spans="1:19" x14ac:dyDescent="0.3">
      <c r="A24" s="3">
        <v>18</v>
      </c>
      <c r="B24" s="4"/>
      <c r="C24" s="4"/>
      <c r="D24" s="5"/>
      <c r="E24" s="4"/>
      <c r="F24" s="6"/>
      <c r="G24" s="6"/>
      <c r="H24" s="16"/>
      <c r="I24" s="17">
        <f t="shared" si="0"/>
        <v>2</v>
      </c>
      <c r="J24" s="7">
        <f t="shared" si="1"/>
        <v>0</v>
      </c>
      <c r="K24" s="8"/>
      <c r="L24" s="8">
        <v>0</v>
      </c>
      <c r="M24" s="8">
        <v>0</v>
      </c>
      <c r="N24" s="8"/>
      <c r="O24" s="8">
        <v>0</v>
      </c>
      <c r="P24" s="7">
        <f t="shared" si="3"/>
        <v>0</v>
      </c>
      <c r="Q24" s="8"/>
      <c r="R24" s="7" t="str">
        <f t="shared" si="2"/>
        <v/>
      </c>
      <c r="S24" s="4"/>
    </row>
    <row r="25" spans="1:19" ht="4.8" customHeight="1" x14ac:dyDescent="0.3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19" ht="16.05" customHeight="1" x14ac:dyDescent="0.3">
      <c r="A26" s="19" t="s">
        <v>23</v>
      </c>
      <c r="B26" s="20"/>
      <c r="C26" s="20"/>
      <c r="D26" s="20"/>
      <c r="E26" s="21"/>
      <c r="F26" s="11">
        <f>SUM(F7:F24)</f>
        <v>0</v>
      </c>
      <c r="G26" s="10"/>
      <c r="H26" s="18">
        <f>SUM(H7:H24)</f>
        <v>0</v>
      </c>
      <c r="I26" s="10"/>
      <c r="J26" s="12">
        <f>SUM(J7:J24)</f>
        <v>0</v>
      </c>
      <c r="K26" s="29">
        <f>SUM(K7:K21)</f>
        <v>3120</v>
      </c>
      <c r="L26" s="29">
        <f>SUM(L7:L21)</f>
        <v>360</v>
      </c>
      <c r="M26" s="29">
        <f t="shared" ref="M26:O26" si="4">SUM(M7:M21)</f>
        <v>300</v>
      </c>
      <c r="N26" s="29">
        <f>SUM(N7:N23)</f>
        <v>0</v>
      </c>
      <c r="O26" s="29">
        <f t="shared" si="4"/>
        <v>1200</v>
      </c>
      <c r="P26" s="12">
        <f>SUM(P7:P24)</f>
        <v>4980</v>
      </c>
      <c r="Q26" s="12">
        <f>SUM(Q7:Q24)</f>
        <v>0</v>
      </c>
      <c r="R26" s="12">
        <f>SUM(R7:R24)</f>
        <v>-4980</v>
      </c>
      <c r="S26" s="10"/>
    </row>
    <row r="27" spans="1:19" ht="24" customHeight="1" x14ac:dyDescent="0.3">
      <c r="F27" s="13" t="s">
        <v>24</v>
      </c>
      <c r="H27" s="13" t="s">
        <v>25</v>
      </c>
      <c r="J27" s="13" t="s">
        <v>26</v>
      </c>
      <c r="K27" s="32" t="s">
        <v>79</v>
      </c>
      <c r="L27" s="30" t="s">
        <v>80</v>
      </c>
      <c r="M27" s="32" t="s">
        <v>81</v>
      </c>
      <c r="N27" s="31" t="s">
        <v>82</v>
      </c>
      <c r="O27" s="32" t="s">
        <v>83</v>
      </c>
      <c r="P27" s="13" t="s">
        <v>27</v>
      </c>
      <c r="Q27" s="13" t="s">
        <v>28</v>
      </c>
      <c r="R27" s="13" t="s">
        <v>29</v>
      </c>
    </row>
  </sheetData>
  <mergeCells count="6">
    <mergeCell ref="A1:S1"/>
    <mergeCell ref="A3:B3"/>
    <mergeCell ref="D3:E3"/>
    <mergeCell ref="G3:H3"/>
    <mergeCell ref="A4:S4"/>
    <mergeCell ref="A26:E26"/>
  </mergeCells>
  <conditionalFormatting sqref="R7:R24">
    <cfRule type="cellIs" dxfId="1" priority="1" operator="less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topLeftCell="B1" zoomScale="80" zoomScaleNormal="80" workbookViewId="0">
      <selection activeCell="K22" sqref="K22"/>
    </sheetView>
  </sheetViews>
  <sheetFormatPr baseColWidth="10" defaultColWidth="8.88671875" defaultRowHeight="14.4" x14ac:dyDescent="0.3"/>
  <cols>
    <col min="1" max="1" width="4" customWidth="1"/>
    <col min="2" max="2" width="16" customWidth="1"/>
    <col min="3" max="3" width="12" customWidth="1"/>
    <col min="4" max="5" width="18" customWidth="1"/>
    <col min="6" max="7" width="10" customWidth="1"/>
    <col min="8" max="8" width="20" customWidth="1"/>
    <col min="9" max="9" width="8" customWidth="1"/>
    <col min="10" max="10" width="18.109375" customWidth="1"/>
    <col min="11" max="11" width="13.6640625" customWidth="1"/>
    <col min="12" max="12" width="14" customWidth="1"/>
    <col min="13" max="14" width="12" customWidth="1"/>
    <col min="15" max="15" width="15" customWidth="1"/>
    <col min="16" max="17" width="12" customWidth="1"/>
    <col min="18" max="18" width="20" customWidth="1"/>
    <col min="19" max="19" width="18" customWidth="1"/>
  </cols>
  <sheetData>
    <row r="1" spans="1:19" ht="22.35" customHeight="1" x14ac:dyDescent="0.3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</row>
    <row r="2" spans="1:19" x14ac:dyDescent="0.3">
      <c r="B2" t="s">
        <v>69</v>
      </c>
    </row>
    <row r="3" spans="1:19" ht="14.4" customHeight="1" x14ac:dyDescent="0.3">
      <c r="A3" s="25" t="s">
        <v>1</v>
      </c>
      <c r="B3" s="23"/>
      <c r="C3" s="14">
        <v>46058</v>
      </c>
      <c r="D3" s="24" t="s">
        <v>2</v>
      </c>
      <c r="E3" s="23"/>
      <c r="F3" s="15">
        <v>2</v>
      </c>
      <c r="G3" s="25" t="s">
        <v>3</v>
      </c>
      <c r="H3" s="23"/>
      <c r="I3" s="1" t="s">
        <v>4</v>
      </c>
    </row>
    <row r="4" spans="1:19" ht="14.4" customHeight="1" x14ac:dyDescent="0.3">
      <c r="A4" s="26" t="s">
        <v>5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</row>
    <row r="5" spans="1:19" ht="9" customHeight="1" x14ac:dyDescent="0.3"/>
    <row r="6" spans="1:19" ht="40.799999999999997" customHeight="1" x14ac:dyDescent="0.3">
      <c r="A6" s="2" t="s">
        <v>6</v>
      </c>
      <c r="B6" s="2" t="s">
        <v>7</v>
      </c>
      <c r="C6" s="2" t="s">
        <v>8</v>
      </c>
      <c r="D6" s="2" t="s">
        <v>9</v>
      </c>
      <c r="E6" s="2" t="s">
        <v>10</v>
      </c>
      <c r="F6" s="2" t="s">
        <v>11</v>
      </c>
      <c r="G6" s="2" t="s">
        <v>12</v>
      </c>
      <c r="H6" s="2" t="s">
        <v>67</v>
      </c>
      <c r="I6" s="2" t="s">
        <v>13</v>
      </c>
      <c r="J6" s="2" t="s">
        <v>14</v>
      </c>
      <c r="K6" s="2" t="s">
        <v>15</v>
      </c>
      <c r="L6" s="2" t="s">
        <v>16</v>
      </c>
      <c r="M6" s="2" t="s">
        <v>17</v>
      </c>
      <c r="N6" s="2" t="s">
        <v>68</v>
      </c>
      <c r="O6" s="2" t="s">
        <v>18</v>
      </c>
      <c r="P6" s="2" t="s">
        <v>19</v>
      </c>
      <c r="Q6" s="2" t="s">
        <v>20</v>
      </c>
      <c r="R6" s="2" t="s">
        <v>21</v>
      </c>
      <c r="S6" s="2" t="s">
        <v>22</v>
      </c>
    </row>
    <row r="7" spans="1:19" x14ac:dyDescent="0.3">
      <c r="A7" s="3">
        <v>1</v>
      </c>
      <c r="B7" s="4" t="s">
        <v>36</v>
      </c>
      <c r="C7" s="4" t="s">
        <v>51</v>
      </c>
      <c r="D7" s="5" t="s">
        <v>65</v>
      </c>
      <c r="E7" s="4" t="s">
        <v>70</v>
      </c>
      <c r="F7" s="6">
        <v>0</v>
      </c>
      <c r="G7" s="6"/>
      <c r="H7" s="16">
        <v>0</v>
      </c>
      <c r="I7" s="17">
        <f t="shared" ref="I7:I24" si="0">$F$3</f>
        <v>2</v>
      </c>
      <c r="J7" s="7">
        <f t="shared" ref="J7:J24" si="1">IF(OR(H7="",I7=""),0,H7*I7)</f>
        <v>0</v>
      </c>
      <c r="K7" s="8">
        <v>400</v>
      </c>
      <c r="L7" s="8">
        <v>32</v>
      </c>
      <c r="M7" s="8">
        <v>20</v>
      </c>
      <c r="N7" s="8">
        <v>0</v>
      </c>
      <c r="O7" s="8">
        <v>80</v>
      </c>
      <c r="P7" s="7">
        <f>J7+N(K7)+N(L7)+N(M7)+N(O7)+N7</f>
        <v>532</v>
      </c>
      <c r="Q7" s="8">
        <v>0</v>
      </c>
      <c r="R7" s="7">
        <f t="shared" ref="R7:R24" si="2">IF(Q7="","",N(Q7)-P7)</f>
        <v>-532</v>
      </c>
      <c r="S7" s="4"/>
    </row>
    <row r="8" spans="1:19" ht="28.8" x14ac:dyDescent="0.3">
      <c r="A8" s="3">
        <v>2</v>
      </c>
      <c r="B8" s="4" t="s">
        <v>37</v>
      </c>
      <c r="C8" s="4" t="s">
        <v>52</v>
      </c>
      <c r="D8" s="5" t="s">
        <v>65</v>
      </c>
      <c r="E8" s="4" t="s">
        <v>70</v>
      </c>
      <c r="F8" s="6">
        <v>0</v>
      </c>
      <c r="G8" s="6"/>
      <c r="H8" s="16">
        <v>0</v>
      </c>
      <c r="I8" s="17">
        <f t="shared" si="0"/>
        <v>2</v>
      </c>
      <c r="J8" s="7">
        <f t="shared" si="1"/>
        <v>0</v>
      </c>
      <c r="K8" s="8">
        <v>400</v>
      </c>
      <c r="L8" s="8">
        <v>32</v>
      </c>
      <c r="M8" s="8">
        <v>20</v>
      </c>
      <c r="N8" s="8">
        <v>0</v>
      </c>
      <c r="O8" s="8">
        <v>80</v>
      </c>
      <c r="P8" s="7">
        <f t="shared" ref="P8:P24" si="3">J8+N(K8)+N(L8)+N(M8)+N(O8)+N8</f>
        <v>532</v>
      </c>
      <c r="Q8" s="8">
        <v>0</v>
      </c>
      <c r="R8" s="7">
        <f t="shared" si="2"/>
        <v>-532</v>
      </c>
      <c r="S8" s="4"/>
    </row>
    <row r="9" spans="1:19" x14ac:dyDescent="0.3">
      <c r="A9" s="3">
        <v>3</v>
      </c>
      <c r="B9" s="4" t="s">
        <v>38</v>
      </c>
      <c r="C9" s="4" t="s">
        <v>53</v>
      </c>
      <c r="D9" s="5" t="s">
        <v>65</v>
      </c>
      <c r="E9" s="4" t="s">
        <v>71</v>
      </c>
      <c r="F9" s="6">
        <v>0</v>
      </c>
      <c r="G9" s="6"/>
      <c r="H9" s="16">
        <v>0</v>
      </c>
      <c r="I9" s="17">
        <f t="shared" si="0"/>
        <v>2</v>
      </c>
      <c r="J9" s="7">
        <f t="shared" si="1"/>
        <v>0</v>
      </c>
      <c r="K9" s="8">
        <v>80</v>
      </c>
      <c r="L9" s="8">
        <v>20</v>
      </c>
      <c r="M9" s="8">
        <v>20</v>
      </c>
      <c r="N9" s="8">
        <v>0</v>
      </c>
      <c r="O9" s="8">
        <v>80</v>
      </c>
      <c r="P9" s="7">
        <f t="shared" si="3"/>
        <v>200</v>
      </c>
      <c r="Q9" s="8">
        <v>0</v>
      </c>
      <c r="R9" s="7">
        <f t="shared" si="2"/>
        <v>-200</v>
      </c>
      <c r="S9" s="4"/>
    </row>
    <row r="10" spans="1:19" x14ac:dyDescent="0.3">
      <c r="A10" s="3">
        <v>4</v>
      </c>
      <c r="B10" s="4" t="s">
        <v>39</v>
      </c>
      <c r="C10" s="4" t="s">
        <v>54</v>
      </c>
      <c r="D10" s="5" t="s">
        <v>65</v>
      </c>
      <c r="E10" s="4" t="s">
        <v>72</v>
      </c>
      <c r="F10" s="6">
        <v>0</v>
      </c>
      <c r="G10" s="6"/>
      <c r="H10" s="16">
        <v>0</v>
      </c>
      <c r="I10" s="17">
        <f t="shared" si="0"/>
        <v>2</v>
      </c>
      <c r="J10" s="7">
        <f t="shared" si="1"/>
        <v>0</v>
      </c>
      <c r="K10" s="8">
        <v>80</v>
      </c>
      <c r="L10" s="8">
        <v>20</v>
      </c>
      <c r="M10" s="8">
        <v>20</v>
      </c>
      <c r="N10" s="8">
        <v>0</v>
      </c>
      <c r="O10" s="8">
        <v>80</v>
      </c>
      <c r="P10" s="7">
        <f t="shared" si="3"/>
        <v>200</v>
      </c>
      <c r="Q10" s="8">
        <v>0</v>
      </c>
      <c r="R10" s="7">
        <f t="shared" si="2"/>
        <v>-200</v>
      </c>
      <c r="S10" s="4"/>
    </row>
    <row r="11" spans="1:19" x14ac:dyDescent="0.3">
      <c r="A11" s="3">
        <v>5</v>
      </c>
      <c r="B11" s="4" t="s">
        <v>40</v>
      </c>
      <c r="C11" s="4" t="s">
        <v>55</v>
      </c>
      <c r="D11" s="5" t="s">
        <v>65</v>
      </c>
      <c r="E11" s="4" t="s">
        <v>73</v>
      </c>
      <c r="F11" s="6">
        <v>0</v>
      </c>
      <c r="G11" s="6"/>
      <c r="H11" s="16">
        <v>0</v>
      </c>
      <c r="I11" s="17">
        <f t="shared" si="0"/>
        <v>2</v>
      </c>
      <c r="J11" s="7">
        <f t="shared" si="1"/>
        <v>0</v>
      </c>
      <c r="K11" s="8">
        <v>80</v>
      </c>
      <c r="L11" s="8">
        <v>20</v>
      </c>
      <c r="M11" s="8">
        <v>20</v>
      </c>
      <c r="N11" s="8">
        <v>0</v>
      </c>
      <c r="O11" s="8">
        <v>80</v>
      </c>
      <c r="P11" s="7">
        <f t="shared" si="3"/>
        <v>200</v>
      </c>
      <c r="Q11" s="8">
        <v>0</v>
      </c>
      <c r="R11" s="7">
        <f t="shared" si="2"/>
        <v>-200</v>
      </c>
      <c r="S11" s="4"/>
    </row>
    <row r="12" spans="1:19" x14ac:dyDescent="0.3">
      <c r="A12" s="3">
        <v>6</v>
      </c>
      <c r="B12" s="4" t="s">
        <v>41</v>
      </c>
      <c r="C12" s="4" t="s">
        <v>56</v>
      </c>
      <c r="D12" s="5" t="s">
        <v>65</v>
      </c>
      <c r="E12" s="4" t="s">
        <v>74</v>
      </c>
      <c r="F12" s="6">
        <v>0</v>
      </c>
      <c r="G12" s="6"/>
      <c r="H12" s="16">
        <v>0</v>
      </c>
      <c r="I12" s="17">
        <f t="shared" si="0"/>
        <v>2</v>
      </c>
      <c r="J12" s="7">
        <f t="shared" si="1"/>
        <v>0</v>
      </c>
      <c r="K12" s="8">
        <v>400</v>
      </c>
      <c r="L12" s="8">
        <v>20</v>
      </c>
      <c r="M12" s="8">
        <v>20</v>
      </c>
      <c r="N12" s="8">
        <v>0</v>
      </c>
      <c r="O12" s="8">
        <v>80</v>
      </c>
      <c r="P12" s="7">
        <f t="shared" si="3"/>
        <v>520</v>
      </c>
      <c r="Q12" s="8">
        <v>0</v>
      </c>
      <c r="R12" s="7">
        <f t="shared" si="2"/>
        <v>-520</v>
      </c>
      <c r="S12" s="4"/>
    </row>
    <row r="13" spans="1:19" x14ac:dyDescent="0.3">
      <c r="A13" s="3">
        <v>7</v>
      </c>
      <c r="B13" s="4" t="s">
        <v>42</v>
      </c>
      <c r="C13" s="4" t="s">
        <v>57</v>
      </c>
      <c r="D13" s="5" t="s">
        <v>65</v>
      </c>
      <c r="E13" s="4" t="s">
        <v>70</v>
      </c>
      <c r="F13" s="6">
        <v>0</v>
      </c>
      <c r="G13" s="6"/>
      <c r="H13" s="16">
        <v>0</v>
      </c>
      <c r="I13" s="17">
        <f t="shared" si="0"/>
        <v>2</v>
      </c>
      <c r="J13" s="7">
        <f t="shared" si="1"/>
        <v>0</v>
      </c>
      <c r="K13" s="8">
        <v>400</v>
      </c>
      <c r="L13" s="8">
        <v>32</v>
      </c>
      <c r="M13" s="8">
        <v>20</v>
      </c>
      <c r="N13" s="8">
        <v>0</v>
      </c>
      <c r="O13" s="8">
        <v>80</v>
      </c>
      <c r="P13" s="7">
        <f t="shared" si="3"/>
        <v>532</v>
      </c>
      <c r="Q13" s="8">
        <v>0</v>
      </c>
      <c r="R13" s="7">
        <f t="shared" si="2"/>
        <v>-532</v>
      </c>
      <c r="S13" s="4"/>
    </row>
    <row r="14" spans="1:19" x14ac:dyDescent="0.3">
      <c r="A14" s="3">
        <v>8</v>
      </c>
      <c r="B14" s="4" t="s">
        <v>43</v>
      </c>
      <c r="C14" s="4" t="s">
        <v>58</v>
      </c>
      <c r="D14" s="5" t="s">
        <v>65</v>
      </c>
      <c r="E14" s="28"/>
      <c r="F14" s="6">
        <v>0</v>
      </c>
      <c r="G14" s="6"/>
      <c r="H14" s="16">
        <v>0</v>
      </c>
      <c r="I14" s="17">
        <f t="shared" si="0"/>
        <v>2</v>
      </c>
      <c r="J14" s="7">
        <f t="shared" si="1"/>
        <v>0</v>
      </c>
      <c r="K14" s="8">
        <v>80</v>
      </c>
      <c r="L14" s="8">
        <v>20</v>
      </c>
      <c r="M14" s="8">
        <v>20</v>
      </c>
      <c r="N14" s="8">
        <v>0</v>
      </c>
      <c r="O14" s="8">
        <v>80</v>
      </c>
      <c r="P14" s="7">
        <f t="shared" si="3"/>
        <v>200</v>
      </c>
      <c r="Q14" s="8">
        <v>0</v>
      </c>
      <c r="R14" s="7">
        <f t="shared" si="2"/>
        <v>-200</v>
      </c>
      <c r="S14" s="4"/>
    </row>
    <row r="15" spans="1:19" x14ac:dyDescent="0.3">
      <c r="A15" s="3">
        <v>9</v>
      </c>
      <c r="B15" s="4" t="s">
        <v>44</v>
      </c>
      <c r="C15" s="4"/>
      <c r="D15" s="5" t="s">
        <v>65</v>
      </c>
      <c r="E15" s="28"/>
      <c r="F15" s="6">
        <v>0</v>
      </c>
      <c r="G15" s="6"/>
      <c r="H15" s="16">
        <v>0</v>
      </c>
      <c r="I15" s="17">
        <f t="shared" si="0"/>
        <v>2</v>
      </c>
      <c r="J15" s="7">
        <f t="shared" si="1"/>
        <v>0</v>
      </c>
      <c r="K15" s="8">
        <v>80</v>
      </c>
      <c r="L15" s="8">
        <v>20</v>
      </c>
      <c r="M15" s="8">
        <v>20</v>
      </c>
      <c r="N15" s="8">
        <v>0</v>
      </c>
      <c r="O15" s="8">
        <v>80</v>
      </c>
      <c r="P15" s="7">
        <f t="shared" si="3"/>
        <v>200</v>
      </c>
      <c r="Q15" s="8">
        <v>0</v>
      </c>
      <c r="R15" s="7">
        <f t="shared" si="2"/>
        <v>-200</v>
      </c>
      <c r="S15" s="4"/>
    </row>
    <row r="16" spans="1:19" x14ac:dyDescent="0.3">
      <c r="A16" s="3">
        <v>10</v>
      </c>
      <c r="B16" s="4" t="s">
        <v>45</v>
      </c>
      <c r="C16" s="4" t="s">
        <v>59</v>
      </c>
      <c r="D16" s="5" t="s">
        <v>65</v>
      </c>
      <c r="E16" s="4" t="s">
        <v>75</v>
      </c>
      <c r="F16" s="6">
        <v>0</v>
      </c>
      <c r="G16" s="6"/>
      <c r="H16" s="16">
        <v>0</v>
      </c>
      <c r="I16" s="17">
        <f t="shared" si="0"/>
        <v>2</v>
      </c>
      <c r="J16" s="7">
        <f t="shared" si="1"/>
        <v>0</v>
      </c>
      <c r="K16" s="8">
        <v>80</v>
      </c>
      <c r="L16" s="8">
        <v>20</v>
      </c>
      <c r="M16" s="8">
        <v>20</v>
      </c>
      <c r="N16" s="8">
        <v>0</v>
      </c>
      <c r="O16" s="8">
        <v>80</v>
      </c>
      <c r="P16" s="7">
        <f t="shared" si="3"/>
        <v>200</v>
      </c>
      <c r="Q16" s="8">
        <v>0</v>
      </c>
      <c r="R16" s="7">
        <f t="shared" si="2"/>
        <v>-200</v>
      </c>
      <c r="S16" s="4"/>
    </row>
    <row r="17" spans="1:19" x14ac:dyDescent="0.3">
      <c r="A17" s="3">
        <v>11</v>
      </c>
      <c r="B17" s="4" t="s">
        <v>46</v>
      </c>
      <c r="C17" s="4" t="s">
        <v>60</v>
      </c>
      <c r="D17" s="5" t="s">
        <v>65</v>
      </c>
      <c r="E17" s="28"/>
      <c r="F17" s="6">
        <v>0</v>
      </c>
      <c r="G17" s="6"/>
      <c r="H17" s="16">
        <v>0</v>
      </c>
      <c r="I17" s="17">
        <f t="shared" si="0"/>
        <v>2</v>
      </c>
      <c r="J17" s="7">
        <f t="shared" si="1"/>
        <v>0</v>
      </c>
      <c r="K17" s="8">
        <v>80</v>
      </c>
      <c r="L17" s="8">
        <v>20</v>
      </c>
      <c r="M17" s="8">
        <v>20</v>
      </c>
      <c r="N17" s="8">
        <v>0</v>
      </c>
      <c r="O17" s="8">
        <v>80</v>
      </c>
      <c r="P17" s="7">
        <f t="shared" si="3"/>
        <v>200</v>
      </c>
      <c r="Q17" s="8">
        <v>0</v>
      </c>
      <c r="R17" s="7">
        <f t="shared" si="2"/>
        <v>-200</v>
      </c>
      <c r="S17" s="4"/>
    </row>
    <row r="18" spans="1:19" x14ac:dyDescent="0.3">
      <c r="A18" s="3">
        <v>12</v>
      </c>
      <c r="B18" s="4" t="s">
        <v>47</v>
      </c>
      <c r="C18" s="4" t="s">
        <v>61</v>
      </c>
      <c r="D18" s="5" t="s">
        <v>66</v>
      </c>
      <c r="E18" s="4" t="s">
        <v>76</v>
      </c>
      <c r="F18" s="6">
        <v>0</v>
      </c>
      <c r="G18" s="6"/>
      <c r="H18" s="16">
        <v>0</v>
      </c>
      <c r="I18" s="17">
        <f t="shared" si="0"/>
        <v>2</v>
      </c>
      <c r="J18" s="7">
        <f t="shared" si="1"/>
        <v>0</v>
      </c>
      <c r="K18" s="8">
        <v>80</v>
      </c>
      <c r="L18" s="8">
        <v>20</v>
      </c>
      <c r="M18" s="8">
        <v>20</v>
      </c>
      <c r="N18" s="8">
        <v>0</v>
      </c>
      <c r="O18" s="8">
        <v>80</v>
      </c>
      <c r="P18" s="7">
        <f t="shared" si="3"/>
        <v>200</v>
      </c>
      <c r="Q18" s="8">
        <v>0</v>
      </c>
      <c r="R18" s="7">
        <f t="shared" si="2"/>
        <v>-200</v>
      </c>
      <c r="S18" s="4"/>
    </row>
    <row r="19" spans="1:19" x14ac:dyDescent="0.3">
      <c r="A19" s="3">
        <v>13</v>
      </c>
      <c r="B19" s="4" t="s">
        <v>48</v>
      </c>
      <c r="C19" s="4" t="s">
        <v>62</v>
      </c>
      <c r="D19" s="5" t="s">
        <v>66</v>
      </c>
      <c r="E19" s="28"/>
      <c r="F19" s="6">
        <v>0</v>
      </c>
      <c r="G19" s="6"/>
      <c r="H19" s="16">
        <v>0</v>
      </c>
      <c r="I19" s="17">
        <f t="shared" si="0"/>
        <v>2</v>
      </c>
      <c r="J19" s="7">
        <f t="shared" si="1"/>
        <v>0</v>
      </c>
      <c r="K19" s="8">
        <v>80</v>
      </c>
      <c r="L19" s="8">
        <v>20</v>
      </c>
      <c r="M19" s="8">
        <v>20</v>
      </c>
      <c r="N19" s="8">
        <v>0</v>
      </c>
      <c r="O19" s="8">
        <v>80</v>
      </c>
      <c r="P19" s="7">
        <f t="shared" si="3"/>
        <v>200</v>
      </c>
      <c r="Q19" s="8">
        <v>0</v>
      </c>
      <c r="R19" s="7">
        <f t="shared" si="2"/>
        <v>-200</v>
      </c>
      <c r="S19" s="4"/>
    </row>
    <row r="20" spans="1:19" ht="28.8" x14ac:dyDescent="0.3">
      <c r="A20" s="3">
        <v>14</v>
      </c>
      <c r="B20" s="4" t="s">
        <v>49</v>
      </c>
      <c r="C20" s="4" t="s">
        <v>63</v>
      </c>
      <c r="D20" s="5" t="s">
        <v>66</v>
      </c>
      <c r="E20" s="4" t="s">
        <v>77</v>
      </c>
      <c r="F20" s="6">
        <v>0</v>
      </c>
      <c r="G20" s="6"/>
      <c r="H20" s="16">
        <v>0</v>
      </c>
      <c r="I20" s="17">
        <f t="shared" si="0"/>
        <v>2</v>
      </c>
      <c r="J20" s="7">
        <f t="shared" si="1"/>
        <v>0</v>
      </c>
      <c r="K20" s="8">
        <v>400</v>
      </c>
      <c r="L20" s="8">
        <v>32</v>
      </c>
      <c r="M20" s="8">
        <v>20</v>
      </c>
      <c r="N20" s="8">
        <v>0</v>
      </c>
      <c r="O20" s="8">
        <v>80</v>
      </c>
      <c r="P20" s="7">
        <f t="shared" si="3"/>
        <v>532</v>
      </c>
      <c r="Q20" s="8">
        <v>0</v>
      </c>
      <c r="R20" s="7">
        <f t="shared" si="2"/>
        <v>-532</v>
      </c>
      <c r="S20" s="4"/>
    </row>
    <row r="21" spans="1:19" x14ac:dyDescent="0.3">
      <c r="A21" s="3">
        <v>15</v>
      </c>
      <c r="B21" s="4" t="s">
        <v>50</v>
      </c>
      <c r="C21" s="4" t="s">
        <v>64</v>
      </c>
      <c r="D21" s="5" t="s">
        <v>66</v>
      </c>
      <c r="E21" s="4" t="s">
        <v>77</v>
      </c>
      <c r="F21" s="6">
        <v>0</v>
      </c>
      <c r="G21" s="6"/>
      <c r="H21" s="16">
        <v>0</v>
      </c>
      <c r="I21" s="17">
        <f t="shared" si="0"/>
        <v>2</v>
      </c>
      <c r="J21" s="7">
        <f t="shared" si="1"/>
        <v>0</v>
      </c>
      <c r="K21" s="8">
        <v>400</v>
      </c>
      <c r="L21" s="8">
        <v>32</v>
      </c>
      <c r="M21" s="8">
        <v>20</v>
      </c>
      <c r="N21" s="8">
        <v>0</v>
      </c>
      <c r="O21" s="8">
        <v>80</v>
      </c>
      <c r="P21" s="7">
        <f t="shared" si="3"/>
        <v>532</v>
      </c>
      <c r="Q21" s="8">
        <v>0</v>
      </c>
      <c r="R21" s="7">
        <f t="shared" si="2"/>
        <v>-532</v>
      </c>
      <c r="S21" s="4"/>
    </row>
    <row r="22" spans="1:19" x14ac:dyDescent="0.3">
      <c r="A22" s="3">
        <v>16</v>
      </c>
      <c r="B22" s="4"/>
      <c r="C22" s="4"/>
      <c r="D22" s="5"/>
      <c r="E22" s="4"/>
      <c r="F22" s="6"/>
      <c r="G22" s="6"/>
      <c r="H22" s="16"/>
      <c r="I22" s="17">
        <f t="shared" si="0"/>
        <v>2</v>
      </c>
      <c r="J22" s="7">
        <f t="shared" si="1"/>
        <v>0</v>
      </c>
      <c r="K22" s="8"/>
      <c r="L22" s="8">
        <v>0</v>
      </c>
      <c r="M22" s="8">
        <v>0</v>
      </c>
      <c r="N22" s="8">
        <v>0</v>
      </c>
      <c r="O22" s="8">
        <v>0</v>
      </c>
      <c r="P22" s="7">
        <f t="shared" si="3"/>
        <v>0</v>
      </c>
      <c r="Q22" s="8">
        <v>0</v>
      </c>
      <c r="R22" s="7">
        <f t="shared" si="2"/>
        <v>0</v>
      </c>
      <c r="S22" s="4"/>
    </row>
    <row r="23" spans="1:19" x14ac:dyDescent="0.3">
      <c r="A23" s="3">
        <v>17</v>
      </c>
      <c r="B23" s="4"/>
      <c r="C23" s="4"/>
      <c r="D23" s="5"/>
      <c r="E23" s="4"/>
      <c r="F23" s="6"/>
      <c r="G23" s="6"/>
      <c r="H23" s="16"/>
      <c r="I23" s="17">
        <f t="shared" si="0"/>
        <v>2</v>
      </c>
      <c r="J23" s="7">
        <f t="shared" si="1"/>
        <v>0</v>
      </c>
      <c r="K23" s="8"/>
      <c r="L23" s="8">
        <v>0</v>
      </c>
      <c r="M23" s="8">
        <v>0</v>
      </c>
      <c r="N23" s="8">
        <v>0</v>
      </c>
      <c r="O23" s="8">
        <v>0</v>
      </c>
      <c r="P23" s="7">
        <f t="shared" si="3"/>
        <v>0</v>
      </c>
      <c r="Q23" s="8">
        <v>0</v>
      </c>
      <c r="R23" s="7">
        <f t="shared" si="2"/>
        <v>0</v>
      </c>
      <c r="S23" s="4"/>
    </row>
    <row r="24" spans="1:19" x14ac:dyDescent="0.3">
      <c r="A24" s="3">
        <v>18</v>
      </c>
      <c r="B24" s="4"/>
      <c r="C24" s="4"/>
      <c r="D24" s="5"/>
      <c r="E24" s="4"/>
      <c r="F24" s="6"/>
      <c r="G24" s="6"/>
      <c r="H24" s="16"/>
      <c r="I24" s="17">
        <f t="shared" si="0"/>
        <v>2</v>
      </c>
      <c r="J24" s="7">
        <f t="shared" si="1"/>
        <v>0</v>
      </c>
      <c r="K24" s="8"/>
      <c r="L24" s="8">
        <v>0</v>
      </c>
      <c r="M24" s="8">
        <v>0</v>
      </c>
      <c r="N24" s="8"/>
      <c r="O24" s="8">
        <v>0</v>
      </c>
      <c r="P24" s="7">
        <f t="shared" si="3"/>
        <v>0</v>
      </c>
      <c r="Q24" s="8"/>
      <c r="R24" s="7" t="str">
        <f t="shared" si="2"/>
        <v/>
      </c>
      <c r="S24" s="4"/>
    </row>
    <row r="25" spans="1:19" ht="4.8" customHeight="1" x14ac:dyDescent="0.3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19" ht="16.05" customHeight="1" x14ac:dyDescent="0.3">
      <c r="A26" s="19" t="s">
        <v>23</v>
      </c>
      <c r="B26" s="20"/>
      <c r="C26" s="20"/>
      <c r="D26" s="20"/>
      <c r="E26" s="21"/>
      <c r="F26" s="11">
        <f>SUM(F7:F24)</f>
        <v>0</v>
      </c>
      <c r="G26" s="10"/>
      <c r="H26" s="18">
        <f>SUM(H7:H24)</f>
        <v>0</v>
      </c>
      <c r="I26" s="10"/>
      <c r="J26" s="12">
        <f>SUM(J7:J24)</f>
        <v>0</v>
      </c>
      <c r="K26" s="29">
        <f>SUM(K7:K21)</f>
        <v>3120</v>
      </c>
      <c r="L26" s="29">
        <f>SUM(L7:L21)</f>
        <v>360</v>
      </c>
      <c r="M26" s="29">
        <f t="shared" ref="M26:O26" si="4">SUM(M7:M21)</f>
        <v>300</v>
      </c>
      <c r="N26" s="29">
        <f>SUM(N7:N23)</f>
        <v>0</v>
      </c>
      <c r="O26" s="29">
        <f t="shared" si="4"/>
        <v>1200</v>
      </c>
      <c r="P26" s="12">
        <f>SUM(P7:P24)</f>
        <v>4980</v>
      </c>
      <c r="Q26" s="12">
        <f>SUM(Q7:Q24)</f>
        <v>0</v>
      </c>
      <c r="R26" s="12">
        <f>SUM(R7:R24)</f>
        <v>-4980</v>
      </c>
      <c r="S26" s="10"/>
    </row>
    <row r="27" spans="1:19" ht="24" customHeight="1" x14ac:dyDescent="0.3">
      <c r="F27" s="13" t="s">
        <v>24</v>
      </c>
      <c r="H27" s="13" t="s">
        <v>25</v>
      </c>
      <c r="J27" s="13" t="s">
        <v>26</v>
      </c>
      <c r="K27" s="32" t="s">
        <v>79</v>
      </c>
      <c r="L27" s="30" t="s">
        <v>80</v>
      </c>
      <c r="M27" s="32" t="s">
        <v>81</v>
      </c>
      <c r="N27" s="31" t="s">
        <v>82</v>
      </c>
      <c r="O27" s="32" t="s">
        <v>83</v>
      </c>
      <c r="P27" s="13" t="s">
        <v>27</v>
      </c>
      <c r="Q27" s="13" t="s">
        <v>28</v>
      </c>
      <c r="R27" s="13" t="s">
        <v>29</v>
      </c>
    </row>
  </sheetData>
  <mergeCells count="6">
    <mergeCell ref="A1:S1"/>
    <mergeCell ref="A3:B3"/>
    <mergeCell ref="D3:E3"/>
    <mergeCell ref="G3:H3"/>
    <mergeCell ref="A4:S4"/>
    <mergeCell ref="A26:E26"/>
  </mergeCells>
  <conditionalFormatting sqref="R7:R24"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topLeftCell="B1" zoomScale="80" zoomScaleNormal="80" workbookViewId="0">
      <selection activeCell="K22" sqref="K22"/>
    </sheetView>
  </sheetViews>
  <sheetFormatPr baseColWidth="10" defaultColWidth="8.88671875" defaultRowHeight="14.4" x14ac:dyDescent="0.3"/>
  <cols>
    <col min="1" max="1" width="4" customWidth="1"/>
    <col min="2" max="2" width="16" customWidth="1"/>
    <col min="3" max="3" width="12" customWidth="1"/>
    <col min="4" max="5" width="18" customWidth="1"/>
    <col min="6" max="7" width="10" customWidth="1"/>
    <col min="8" max="8" width="20" customWidth="1"/>
    <col min="9" max="9" width="8" customWidth="1"/>
    <col min="10" max="10" width="18.109375" customWidth="1"/>
    <col min="11" max="11" width="13.6640625" customWidth="1"/>
    <col min="12" max="12" width="14" customWidth="1"/>
    <col min="13" max="14" width="12" customWidth="1"/>
    <col min="15" max="15" width="15" customWidth="1"/>
    <col min="16" max="17" width="12" customWidth="1"/>
    <col min="18" max="18" width="20" customWidth="1"/>
    <col min="19" max="19" width="18" customWidth="1"/>
  </cols>
  <sheetData>
    <row r="1" spans="1:19" ht="22.35" customHeight="1" x14ac:dyDescent="0.3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</row>
    <row r="2" spans="1:19" x14ac:dyDescent="0.3">
      <c r="B2" t="s">
        <v>69</v>
      </c>
    </row>
    <row r="3" spans="1:19" ht="14.4" customHeight="1" x14ac:dyDescent="0.3">
      <c r="A3" s="25" t="s">
        <v>1</v>
      </c>
      <c r="B3" s="23"/>
      <c r="C3" s="14">
        <v>46058</v>
      </c>
      <c r="D3" s="24" t="s">
        <v>2</v>
      </c>
      <c r="E3" s="23"/>
      <c r="F3" s="15">
        <v>2</v>
      </c>
      <c r="G3" s="25" t="s">
        <v>3</v>
      </c>
      <c r="H3" s="23"/>
      <c r="I3" s="1" t="s">
        <v>4</v>
      </c>
    </row>
    <row r="4" spans="1:19" ht="14.4" customHeight="1" x14ac:dyDescent="0.3">
      <c r="A4" s="26" t="s">
        <v>5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</row>
    <row r="5" spans="1:19" ht="9" customHeight="1" x14ac:dyDescent="0.3"/>
    <row r="6" spans="1:19" ht="40.799999999999997" customHeight="1" x14ac:dyDescent="0.3">
      <c r="A6" s="2" t="s">
        <v>6</v>
      </c>
      <c r="B6" s="2" t="s">
        <v>7</v>
      </c>
      <c r="C6" s="2" t="s">
        <v>8</v>
      </c>
      <c r="D6" s="2" t="s">
        <v>9</v>
      </c>
      <c r="E6" s="2" t="s">
        <v>10</v>
      </c>
      <c r="F6" s="2" t="s">
        <v>11</v>
      </c>
      <c r="G6" s="2" t="s">
        <v>12</v>
      </c>
      <c r="H6" s="2" t="s">
        <v>67</v>
      </c>
      <c r="I6" s="2" t="s">
        <v>13</v>
      </c>
      <c r="J6" s="2" t="s">
        <v>14</v>
      </c>
      <c r="K6" s="2" t="s">
        <v>15</v>
      </c>
      <c r="L6" s="2" t="s">
        <v>16</v>
      </c>
      <c r="M6" s="2" t="s">
        <v>17</v>
      </c>
      <c r="N6" s="2" t="s">
        <v>68</v>
      </c>
      <c r="O6" s="2" t="s">
        <v>18</v>
      </c>
      <c r="P6" s="2" t="s">
        <v>19</v>
      </c>
      <c r="Q6" s="2" t="s">
        <v>20</v>
      </c>
      <c r="R6" s="2" t="s">
        <v>21</v>
      </c>
      <c r="S6" s="2" t="s">
        <v>22</v>
      </c>
    </row>
    <row r="7" spans="1:19" x14ac:dyDescent="0.3">
      <c r="A7" s="3">
        <v>1</v>
      </c>
      <c r="B7" s="4" t="s">
        <v>36</v>
      </c>
      <c r="C7" s="4" t="s">
        <v>51</v>
      </c>
      <c r="D7" s="5" t="s">
        <v>65</v>
      </c>
      <c r="E7" s="4" t="s">
        <v>70</v>
      </c>
      <c r="F7" s="6">
        <v>0</v>
      </c>
      <c r="G7" s="6"/>
      <c r="H7" s="16">
        <v>0</v>
      </c>
      <c r="I7" s="17">
        <f t="shared" ref="I7:I24" si="0">$F$3</f>
        <v>2</v>
      </c>
      <c r="J7" s="7">
        <f t="shared" ref="J7:J24" si="1">IF(OR(H7="",I7=""),0,H7*I7)</f>
        <v>0</v>
      </c>
      <c r="K7" s="8">
        <v>400</v>
      </c>
      <c r="L7" s="8">
        <v>32</v>
      </c>
      <c r="M7" s="8">
        <v>20</v>
      </c>
      <c r="N7" s="8">
        <v>0</v>
      </c>
      <c r="O7" s="8">
        <v>80</v>
      </c>
      <c r="P7" s="7">
        <f>J7+N(K7)+N(L7)+N(M7)+N(O7)+N7</f>
        <v>532</v>
      </c>
      <c r="Q7" s="8">
        <v>0</v>
      </c>
      <c r="R7" s="7">
        <f t="shared" ref="R7:R24" si="2">IF(Q7="","",N(Q7)-P7)</f>
        <v>-532</v>
      </c>
      <c r="S7" s="4"/>
    </row>
    <row r="8" spans="1:19" ht="28.8" x14ac:dyDescent="0.3">
      <c r="A8" s="3">
        <v>2</v>
      </c>
      <c r="B8" s="4" t="s">
        <v>37</v>
      </c>
      <c r="C8" s="4" t="s">
        <v>52</v>
      </c>
      <c r="D8" s="5" t="s">
        <v>65</v>
      </c>
      <c r="E8" s="4" t="s">
        <v>70</v>
      </c>
      <c r="F8" s="6">
        <v>0</v>
      </c>
      <c r="G8" s="6"/>
      <c r="H8" s="16">
        <v>0</v>
      </c>
      <c r="I8" s="17">
        <f t="shared" si="0"/>
        <v>2</v>
      </c>
      <c r="J8" s="7">
        <f t="shared" si="1"/>
        <v>0</v>
      </c>
      <c r="K8" s="8">
        <v>400</v>
      </c>
      <c r="L8" s="8">
        <v>32</v>
      </c>
      <c r="M8" s="8">
        <v>20</v>
      </c>
      <c r="N8" s="8">
        <v>0</v>
      </c>
      <c r="O8" s="8">
        <v>80</v>
      </c>
      <c r="P8" s="7">
        <f t="shared" ref="P8:P24" si="3">J8+N(K8)+N(L8)+N(M8)+N(O8)+N8</f>
        <v>532</v>
      </c>
      <c r="Q8" s="8">
        <v>0</v>
      </c>
      <c r="R8" s="7">
        <f t="shared" si="2"/>
        <v>-532</v>
      </c>
      <c r="S8" s="4"/>
    </row>
    <row r="9" spans="1:19" x14ac:dyDescent="0.3">
      <c r="A9" s="3">
        <v>3</v>
      </c>
      <c r="B9" s="4" t="s">
        <v>38</v>
      </c>
      <c r="C9" s="4" t="s">
        <v>53</v>
      </c>
      <c r="D9" s="5" t="s">
        <v>65</v>
      </c>
      <c r="E9" s="4" t="s">
        <v>71</v>
      </c>
      <c r="F9" s="6">
        <v>0</v>
      </c>
      <c r="G9" s="6"/>
      <c r="H9" s="16">
        <v>0</v>
      </c>
      <c r="I9" s="17">
        <f t="shared" si="0"/>
        <v>2</v>
      </c>
      <c r="J9" s="7">
        <f t="shared" si="1"/>
        <v>0</v>
      </c>
      <c r="K9" s="8">
        <v>80</v>
      </c>
      <c r="L9" s="8">
        <v>20</v>
      </c>
      <c r="M9" s="8">
        <v>20</v>
      </c>
      <c r="N9" s="8">
        <v>0</v>
      </c>
      <c r="O9" s="8">
        <v>80</v>
      </c>
      <c r="P9" s="7">
        <f t="shared" si="3"/>
        <v>200</v>
      </c>
      <c r="Q9" s="8">
        <v>0</v>
      </c>
      <c r="R9" s="7">
        <f t="shared" si="2"/>
        <v>-200</v>
      </c>
      <c r="S9" s="4"/>
    </row>
    <row r="10" spans="1:19" x14ac:dyDescent="0.3">
      <c r="A10" s="3">
        <v>4</v>
      </c>
      <c r="B10" s="4" t="s">
        <v>39</v>
      </c>
      <c r="C10" s="4" t="s">
        <v>54</v>
      </c>
      <c r="D10" s="5" t="s">
        <v>65</v>
      </c>
      <c r="E10" s="4" t="s">
        <v>72</v>
      </c>
      <c r="F10" s="6">
        <v>0</v>
      </c>
      <c r="G10" s="6"/>
      <c r="H10" s="16">
        <v>0</v>
      </c>
      <c r="I10" s="17">
        <f t="shared" si="0"/>
        <v>2</v>
      </c>
      <c r="J10" s="7">
        <f t="shared" si="1"/>
        <v>0</v>
      </c>
      <c r="K10" s="8">
        <v>80</v>
      </c>
      <c r="L10" s="8">
        <v>20</v>
      </c>
      <c r="M10" s="8">
        <v>20</v>
      </c>
      <c r="N10" s="8">
        <v>0</v>
      </c>
      <c r="O10" s="8">
        <v>80</v>
      </c>
      <c r="P10" s="7">
        <f t="shared" si="3"/>
        <v>200</v>
      </c>
      <c r="Q10" s="8">
        <v>0</v>
      </c>
      <c r="R10" s="7">
        <f t="shared" si="2"/>
        <v>-200</v>
      </c>
      <c r="S10" s="4"/>
    </row>
    <row r="11" spans="1:19" x14ac:dyDescent="0.3">
      <c r="A11" s="3">
        <v>5</v>
      </c>
      <c r="B11" s="4" t="s">
        <v>40</v>
      </c>
      <c r="C11" s="4" t="s">
        <v>55</v>
      </c>
      <c r="D11" s="5" t="s">
        <v>65</v>
      </c>
      <c r="E11" s="4" t="s">
        <v>73</v>
      </c>
      <c r="F11" s="6">
        <v>0</v>
      </c>
      <c r="G11" s="6"/>
      <c r="H11" s="16">
        <v>0</v>
      </c>
      <c r="I11" s="17">
        <f t="shared" si="0"/>
        <v>2</v>
      </c>
      <c r="J11" s="7">
        <f t="shared" si="1"/>
        <v>0</v>
      </c>
      <c r="K11" s="8">
        <v>80</v>
      </c>
      <c r="L11" s="8">
        <v>20</v>
      </c>
      <c r="M11" s="8">
        <v>20</v>
      </c>
      <c r="N11" s="8">
        <v>0</v>
      </c>
      <c r="O11" s="8">
        <v>80</v>
      </c>
      <c r="P11" s="7">
        <f t="shared" si="3"/>
        <v>200</v>
      </c>
      <c r="Q11" s="8">
        <v>0</v>
      </c>
      <c r="R11" s="7">
        <f t="shared" si="2"/>
        <v>-200</v>
      </c>
      <c r="S11" s="4"/>
    </row>
    <row r="12" spans="1:19" x14ac:dyDescent="0.3">
      <c r="A12" s="3">
        <v>6</v>
      </c>
      <c r="B12" s="4" t="s">
        <v>41</v>
      </c>
      <c r="C12" s="4" t="s">
        <v>56</v>
      </c>
      <c r="D12" s="5" t="s">
        <v>65</v>
      </c>
      <c r="E12" s="4" t="s">
        <v>74</v>
      </c>
      <c r="F12" s="6">
        <v>0</v>
      </c>
      <c r="G12" s="6"/>
      <c r="H12" s="16">
        <v>0</v>
      </c>
      <c r="I12" s="17">
        <f t="shared" si="0"/>
        <v>2</v>
      </c>
      <c r="J12" s="7">
        <f t="shared" si="1"/>
        <v>0</v>
      </c>
      <c r="K12" s="8">
        <v>400</v>
      </c>
      <c r="L12" s="8">
        <v>20</v>
      </c>
      <c r="M12" s="8">
        <v>20</v>
      </c>
      <c r="N12" s="8">
        <v>0</v>
      </c>
      <c r="O12" s="8">
        <v>80</v>
      </c>
      <c r="P12" s="7">
        <f t="shared" si="3"/>
        <v>520</v>
      </c>
      <c r="Q12" s="8">
        <v>0</v>
      </c>
      <c r="R12" s="7">
        <f t="shared" si="2"/>
        <v>-520</v>
      </c>
      <c r="S12" s="4"/>
    </row>
    <row r="13" spans="1:19" x14ac:dyDescent="0.3">
      <c r="A13" s="3">
        <v>7</v>
      </c>
      <c r="B13" s="4" t="s">
        <v>42</v>
      </c>
      <c r="C13" s="4" t="s">
        <v>57</v>
      </c>
      <c r="D13" s="5" t="s">
        <v>65</v>
      </c>
      <c r="E13" s="4" t="s">
        <v>70</v>
      </c>
      <c r="F13" s="6">
        <v>0</v>
      </c>
      <c r="G13" s="6"/>
      <c r="H13" s="16">
        <v>0</v>
      </c>
      <c r="I13" s="17">
        <f t="shared" si="0"/>
        <v>2</v>
      </c>
      <c r="J13" s="7">
        <f t="shared" si="1"/>
        <v>0</v>
      </c>
      <c r="K13" s="8">
        <v>400</v>
      </c>
      <c r="L13" s="8">
        <v>32</v>
      </c>
      <c r="M13" s="8">
        <v>20</v>
      </c>
      <c r="N13" s="8">
        <v>0</v>
      </c>
      <c r="O13" s="8">
        <v>80</v>
      </c>
      <c r="P13" s="7">
        <f t="shared" si="3"/>
        <v>532</v>
      </c>
      <c r="Q13" s="8">
        <v>0</v>
      </c>
      <c r="R13" s="7">
        <f t="shared" si="2"/>
        <v>-532</v>
      </c>
      <c r="S13" s="4"/>
    </row>
    <row r="14" spans="1:19" x14ac:dyDescent="0.3">
      <c r="A14" s="3">
        <v>8</v>
      </c>
      <c r="B14" s="4" t="s">
        <v>43</v>
      </c>
      <c r="C14" s="4" t="s">
        <v>58</v>
      </c>
      <c r="D14" s="5" t="s">
        <v>65</v>
      </c>
      <c r="E14" s="28"/>
      <c r="F14" s="6">
        <v>0</v>
      </c>
      <c r="G14" s="6"/>
      <c r="H14" s="16">
        <v>0</v>
      </c>
      <c r="I14" s="17">
        <f t="shared" si="0"/>
        <v>2</v>
      </c>
      <c r="J14" s="7">
        <f t="shared" si="1"/>
        <v>0</v>
      </c>
      <c r="K14" s="8">
        <v>80</v>
      </c>
      <c r="L14" s="8">
        <v>20</v>
      </c>
      <c r="M14" s="8">
        <v>20</v>
      </c>
      <c r="N14" s="8">
        <v>0</v>
      </c>
      <c r="O14" s="8">
        <v>80</v>
      </c>
      <c r="P14" s="7">
        <f t="shared" si="3"/>
        <v>200</v>
      </c>
      <c r="Q14" s="8">
        <v>0</v>
      </c>
      <c r="R14" s="7">
        <f t="shared" si="2"/>
        <v>-200</v>
      </c>
      <c r="S14" s="4"/>
    </row>
    <row r="15" spans="1:19" x14ac:dyDescent="0.3">
      <c r="A15" s="3">
        <v>9</v>
      </c>
      <c r="B15" s="4" t="s">
        <v>44</v>
      </c>
      <c r="C15" s="4"/>
      <c r="D15" s="5" t="s">
        <v>65</v>
      </c>
      <c r="E15" s="28"/>
      <c r="F15" s="6">
        <v>0</v>
      </c>
      <c r="G15" s="6"/>
      <c r="H15" s="16">
        <v>0</v>
      </c>
      <c r="I15" s="17">
        <f t="shared" si="0"/>
        <v>2</v>
      </c>
      <c r="J15" s="7">
        <f t="shared" si="1"/>
        <v>0</v>
      </c>
      <c r="K15" s="8">
        <v>80</v>
      </c>
      <c r="L15" s="8">
        <v>20</v>
      </c>
      <c r="M15" s="8">
        <v>20</v>
      </c>
      <c r="N15" s="8">
        <v>0</v>
      </c>
      <c r="O15" s="8">
        <v>80</v>
      </c>
      <c r="P15" s="7">
        <f t="shared" si="3"/>
        <v>200</v>
      </c>
      <c r="Q15" s="8">
        <v>0</v>
      </c>
      <c r="R15" s="7">
        <f t="shared" si="2"/>
        <v>-200</v>
      </c>
      <c r="S15" s="4"/>
    </row>
    <row r="16" spans="1:19" x14ac:dyDescent="0.3">
      <c r="A16" s="3">
        <v>10</v>
      </c>
      <c r="B16" s="4" t="s">
        <v>45</v>
      </c>
      <c r="C16" s="4" t="s">
        <v>59</v>
      </c>
      <c r="D16" s="5" t="s">
        <v>65</v>
      </c>
      <c r="E16" s="4" t="s">
        <v>75</v>
      </c>
      <c r="F16" s="6">
        <v>0</v>
      </c>
      <c r="G16" s="6"/>
      <c r="H16" s="16">
        <v>0</v>
      </c>
      <c r="I16" s="17">
        <f t="shared" si="0"/>
        <v>2</v>
      </c>
      <c r="J16" s="7">
        <f t="shared" si="1"/>
        <v>0</v>
      </c>
      <c r="K16" s="8">
        <v>80</v>
      </c>
      <c r="L16" s="8">
        <v>20</v>
      </c>
      <c r="M16" s="8">
        <v>20</v>
      </c>
      <c r="N16" s="8">
        <v>0</v>
      </c>
      <c r="O16" s="8">
        <v>80</v>
      </c>
      <c r="P16" s="7">
        <f t="shared" si="3"/>
        <v>200</v>
      </c>
      <c r="Q16" s="8">
        <v>0</v>
      </c>
      <c r="R16" s="7">
        <f t="shared" si="2"/>
        <v>-200</v>
      </c>
      <c r="S16" s="4"/>
    </row>
    <row r="17" spans="1:19" x14ac:dyDescent="0.3">
      <c r="A17" s="3">
        <v>11</v>
      </c>
      <c r="B17" s="4" t="s">
        <v>46</v>
      </c>
      <c r="C17" s="4" t="s">
        <v>60</v>
      </c>
      <c r="D17" s="5" t="s">
        <v>65</v>
      </c>
      <c r="E17" s="28"/>
      <c r="F17" s="6">
        <v>0</v>
      </c>
      <c r="G17" s="6"/>
      <c r="H17" s="16">
        <v>0</v>
      </c>
      <c r="I17" s="17">
        <f t="shared" si="0"/>
        <v>2</v>
      </c>
      <c r="J17" s="7">
        <f t="shared" si="1"/>
        <v>0</v>
      </c>
      <c r="K17" s="8">
        <v>80</v>
      </c>
      <c r="L17" s="8">
        <v>20</v>
      </c>
      <c r="M17" s="8">
        <v>20</v>
      </c>
      <c r="N17" s="8">
        <v>0</v>
      </c>
      <c r="O17" s="8">
        <v>80</v>
      </c>
      <c r="P17" s="7">
        <f t="shared" si="3"/>
        <v>200</v>
      </c>
      <c r="Q17" s="8">
        <v>0</v>
      </c>
      <c r="R17" s="7">
        <f t="shared" si="2"/>
        <v>-200</v>
      </c>
      <c r="S17" s="4"/>
    </row>
    <row r="18" spans="1:19" x14ac:dyDescent="0.3">
      <c r="A18" s="3">
        <v>12</v>
      </c>
      <c r="B18" s="4" t="s">
        <v>47</v>
      </c>
      <c r="C18" s="4" t="s">
        <v>61</v>
      </c>
      <c r="D18" s="5" t="s">
        <v>66</v>
      </c>
      <c r="E18" s="4" t="s">
        <v>76</v>
      </c>
      <c r="F18" s="6">
        <v>0</v>
      </c>
      <c r="G18" s="6"/>
      <c r="H18" s="16">
        <v>0</v>
      </c>
      <c r="I18" s="17">
        <f t="shared" si="0"/>
        <v>2</v>
      </c>
      <c r="J18" s="7">
        <f t="shared" si="1"/>
        <v>0</v>
      </c>
      <c r="K18" s="8">
        <v>80</v>
      </c>
      <c r="L18" s="8">
        <v>20</v>
      </c>
      <c r="M18" s="8">
        <v>20</v>
      </c>
      <c r="N18" s="8">
        <v>0</v>
      </c>
      <c r="O18" s="8">
        <v>80</v>
      </c>
      <c r="P18" s="7">
        <f t="shared" si="3"/>
        <v>200</v>
      </c>
      <c r="Q18" s="8">
        <v>0</v>
      </c>
      <c r="R18" s="7">
        <f t="shared" si="2"/>
        <v>-200</v>
      </c>
      <c r="S18" s="4"/>
    </row>
    <row r="19" spans="1:19" x14ac:dyDescent="0.3">
      <c r="A19" s="3">
        <v>13</v>
      </c>
      <c r="B19" s="4" t="s">
        <v>48</v>
      </c>
      <c r="C19" s="4" t="s">
        <v>62</v>
      </c>
      <c r="D19" s="5" t="s">
        <v>66</v>
      </c>
      <c r="E19" s="28"/>
      <c r="F19" s="6">
        <v>0</v>
      </c>
      <c r="G19" s="6"/>
      <c r="H19" s="16">
        <v>0</v>
      </c>
      <c r="I19" s="17">
        <f t="shared" si="0"/>
        <v>2</v>
      </c>
      <c r="J19" s="7">
        <f t="shared" si="1"/>
        <v>0</v>
      </c>
      <c r="K19" s="8">
        <v>80</v>
      </c>
      <c r="L19" s="8">
        <v>20</v>
      </c>
      <c r="M19" s="8">
        <v>20</v>
      </c>
      <c r="N19" s="8">
        <v>0</v>
      </c>
      <c r="O19" s="8">
        <v>80</v>
      </c>
      <c r="P19" s="7">
        <f t="shared" si="3"/>
        <v>200</v>
      </c>
      <c r="Q19" s="8">
        <v>0</v>
      </c>
      <c r="R19" s="7">
        <f t="shared" si="2"/>
        <v>-200</v>
      </c>
      <c r="S19" s="4"/>
    </row>
    <row r="20" spans="1:19" ht="28.8" x14ac:dyDescent="0.3">
      <c r="A20" s="3">
        <v>14</v>
      </c>
      <c r="B20" s="4" t="s">
        <v>49</v>
      </c>
      <c r="C20" s="4" t="s">
        <v>63</v>
      </c>
      <c r="D20" s="5" t="s">
        <v>66</v>
      </c>
      <c r="E20" s="4" t="s">
        <v>77</v>
      </c>
      <c r="F20" s="6">
        <v>0</v>
      </c>
      <c r="G20" s="6"/>
      <c r="H20" s="16">
        <v>0</v>
      </c>
      <c r="I20" s="17">
        <f t="shared" si="0"/>
        <v>2</v>
      </c>
      <c r="J20" s="7">
        <f t="shared" si="1"/>
        <v>0</v>
      </c>
      <c r="K20" s="8">
        <v>400</v>
      </c>
      <c r="L20" s="8">
        <v>32</v>
      </c>
      <c r="M20" s="8">
        <v>20</v>
      </c>
      <c r="N20" s="8">
        <v>0</v>
      </c>
      <c r="O20" s="8">
        <v>80</v>
      </c>
      <c r="P20" s="7">
        <f t="shared" si="3"/>
        <v>532</v>
      </c>
      <c r="Q20" s="8">
        <v>0</v>
      </c>
      <c r="R20" s="7">
        <f t="shared" si="2"/>
        <v>-532</v>
      </c>
      <c r="S20" s="4"/>
    </row>
    <row r="21" spans="1:19" x14ac:dyDescent="0.3">
      <c r="A21" s="3">
        <v>15</v>
      </c>
      <c r="B21" s="4" t="s">
        <v>50</v>
      </c>
      <c r="C21" s="4" t="s">
        <v>64</v>
      </c>
      <c r="D21" s="5" t="s">
        <v>66</v>
      </c>
      <c r="E21" s="4" t="s">
        <v>77</v>
      </c>
      <c r="F21" s="6">
        <v>0</v>
      </c>
      <c r="G21" s="6"/>
      <c r="H21" s="16">
        <v>0</v>
      </c>
      <c r="I21" s="17">
        <f t="shared" si="0"/>
        <v>2</v>
      </c>
      <c r="J21" s="7">
        <f t="shared" si="1"/>
        <v>0</v>
      </c>
      <c r="K21" s="8">
        <v>400</v>
      </c>
      <c r="L21" s="8">
        <v>32</v>
      </c>
      <c r="M21" s="8">
        <v>20</v>
      </c>
      <c r="N21" s="8">
        <v>0</v>
      </c>
      <c r="O21" s="8">
        <v>80</v>
      </c>
      <c r="P21" s="7">
        <f t="shared" si="3"/>
        <v>532</v>
      </c>
      <c r="Q21" s="8">
        <v>0</v>
      </c>
      <c r="R21" s="7">
        <f t="shared" si="2"/>
        <v>-532</v>
      </c>
      <c r="S21" s="4"/>
    </row>
    <row r="22" spans="1:19" x14ac:dyDescent="0.3">
      <c r="A22" s="3">
        <v>16</v>
      </c>
      <c r="B22" s="4"/>
      <c r="C22" s="4"/>
      <c r="D22" s="5"/>
      <c r="E22" s="4"/>
      <c r="F22" s="6"/>
      <c r="G22" s="6"/>
      <c r="H22" s="16"/>
      <c r="I22" s="17">
        <f t="shared" si="0"/>
        <v>2</v>
      </c>
      <c r="J22" s="7">
        <f t="shared" si="1"/>
        <v>0</v>
      </c>
      <c r="K22" s="8"/>
      <c r="L22" s="8">
        <v>0</v>
      </c>
      <c r="M22" s="8">
        <v>0</v>
      </c>
      <c r="N22" s="8">
        <v>0</v>
      </c>
      <c r="O22" s="8">
        <v>0</v>
      </c>
      <c r="P22" s="7">
        <f t="shared" si="3"/>
        <v>0</v>
      </c>
      <c r="Q22" s="8">
        <v>0</v>
      </c>
      <c r="R22" s="7">
        <f t="shared" si="2"/>
        <v>0</v>
      </c>
      <c r="S22" s="4"/>
    </row>
    <row r="23" spans="1:19" x14ac:dyDescent="0.3">
      <c r="A23" s="3">
        <v>17</v>
      </c>
      <c r="B23" s="4"/>
      <c r="C23" s="4"/>
      <c r="D23" s="5"/>
      <c r="E23" s="4"/>
      <c r="F23" s="6"/>
      <c r="G23" s="6"/>
      <c r="H23" s="16"/>
      <c r="I23" s="17">
        <f t="shared" si="0"/>
        <v>2</v>
      </c>
      <c r="J23" s="7">
        <f t="shared" si="1"/>
        <v>0</v>
      </c>
      <c r="K23" s="8"/>
      <c r="L23" s="8">
        <v>0</v>
      </c>
      <c r="M23" s="8">
        <v>0</v>
      </c>
      <c r="N23" s="8">
        <v>0</v>
      </c>
      <c r="O23" s="8">
        <v>0</v>
      </c>
      <c r="P23" s="7">
        <f t="shared" si="3"/>
        <v>0</v>
      </c>
      <c r="Q23" s="8">
        <v>0</v>
      </c>
      <c r="R23" s="7">
        <f t="shared" si="2"/>
        <v>0</v>
      </c>
      <c r="S23" s="4"/>
    </row>
    <row r="24" spans="1:19" x14ac:dyDescent="0.3">
      <c r="A24" s="3">
        <v>18</v>
      </c>
      <c r="B24" s="4"/>
      <c r="C24" s="4"/>
      <c r="D24" s="5"/>
      <c r="E24" s="4"/>
      <c r="F24" s="6"/>
      <c r="G24" s="6"/>
      <c r="H24" s="16"/>
      <c r="I24" s="17">
        <f t="shared" si="0"/>
        <v>2</v>
      </c>
      <c r="J24" s="7">
        <f t="shared" si="1"/>
        <v>0</v>
      </c>
      <c r="K24" s="8"/>
      <c r="L24" s="8">
        <v>0</v>
      </c>
      <c r="M24" s="8">
        <v>0</v>
      </c>
      <c r="N24" s="8"/>
      <c r="O24" s="8">
        <v>0</v>
      </c>
      <c r="P24" s="7">
        <f t="shared" si="3"/>
        <v>0</v>
      </c>
      <c r="Q24" s="8"/>
      <c r="R24" s="7" t="str">
        <f t="shared" si="2"/>
        <v/>
      </c>
      <c r="S24" s="4"/>
    </row>
    <row r="25" spans="1:19" ht="4.8" customHeight="1" x14ac:dyDescent="0.3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19" ht="16.05" customHeight="1" x14ac:dyDescent="0.3">
      <c r="A26" s="19" t="s">
        <v>23</v>
      </c>
      <c r="B26" s="20"/>
      <c r="C26" s="20"/>
      <c r="D26" s="20"/>
      <c r="E26" s="21"/>
      <c r="F26" s="11">
        <f>SUM(F7:F24)</f>
        <v>0</v>
      </c>
      <c r="G26" s="10"/>
      <c r="H26" s="18">
        <f>SUM(H7:H24)</f>
        <v>0</v>
      </c>
      <c r="I26" s="10"/>
      <c r="J26" s="12">
        <f>SUM(J7:J24)</f>
        <v>0</v>
      </c>
      <c r="K26" s="29">
        <f>SUM(K7:K21)</f>
        <v>3120</v>
      </c>
      <c r="L26" s="29">
        <f>SUM(L7:L21)</f>
        <v>360</v>
      </c>
      <c r="M26" s="29">
        <f t="shared" ref="M26:O26" si="4">SUM(M7:M21)</f>
        <v>300</v>
      </c>
      <c r="N26" s="29">
        <f>SUM(N7:N23)</f>
        <v>0</v>
      </c>
      <c r="O26" s="29">
        <f t="shared" si="4"/>
        <v>1200</v>
      </c>
      <c r="P26" s="12">
        <f>SUM(P7:P24)</f>
        <v>4980</v>
      </c>
      <c r="Q26" s="12">
        <f>SUM(Q7:Q24)</f>
        <v>0</v>
      </c>
      <c r="R26" s="12">
        <f>SUM(R7:R24)</f>
        <v>-4980</v>
      </c>
      <c r="S26" s="10"/>
    </row>
    <row r="27" spans="1:19" ht="24" customHeight="1" x14ac:dyDescent="0.3">
      <c r="F27" s="13" t="s">
        <v>24</v>
      </c>
      <c r="H27" s="13" t="s">
        <v>25</v>
      </c>
      <c r="J27" s="13" t="s">
        <v>26</v>
      </c>
      <c r="K27" s="32" t="s">
        <v>79</v>
      </c>
      <c r="L27" s="30" t="s">
        <v>80</v>
      </c>
      <c r="M27" s="32" t="s">
        <v>81</v>
      </c>
      <c r="N27" s="31" t="s">
        <v>82</v>
      </c>
      <c r="O27" s="32" t="s">
        <v>83</v>
      </c>
      <c r="P27" s="13" t="s">
        <v>27</v>
      </c>
      <c r="Q27" s="13" t="s">
        <v>28</v>
      </c>
      <c r="R27" s="13" t="s">
        <v>29</v>
      </c>
    </row>
  </sheetData>
  <mergeCells count="6">
    <mergeCell ref="A1:S1"/>
    <mergeCell ref="A3:B3"/>
    <mergeCell ref="D3:E3"/>
    <mergeCell ref="G3:H3"/>
    <mergeCell ref="A4:S4"/>
    <mergeCell ref="A26:E26"/>
  </mergeCells>
  <conditionalFormatting sqref="R7:R24">
    <cfRule type="cellIs" dxfId="2" priority="1" operator="lessThan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selection sqref="A1:H1"/>
    </sheetView>
  </sheetViews>
  <sheetFormatPr baseColWidth="10" defaultColWidth="8.88671875" defaultRowHeight="14.4" x14ac:dyDescent="0.3"/>
  <cols>
    <col min="1" max="8" width="18" customWidth="1"/>
  </cols>
  <sheetData>
    <row r="1" spans="1:8" ht="15.6" x14ac:dyDescent="0.3">
      <c r="A1" s="27" t="s">
        <v>30</v>
      </c>
      <c r="B1" s="23"/>
      <c r="C1" s="23"/>
      <c r="D1" s="23"/>
      <c r="E1" s="23"/>
      <c r="F1" s="23"/>
      <c r="G1" s="23"/>
      <c r="H1" s="23"/>
    </row>
    <row r="3" spans="1:8" x14ac:dyDescent="0.3">
      <c r="A3" s="2" t="s">
        <v>7</v>
      </c>
      <c r="B3" s="2" t="s">
        <v>31</v>
      </c>
      <c r="C3" s="2" t="s">
        <v>32</v>
      </c>
      <c r="D3" s="2" t="s">
        <v>25</v>
      </c>
      <c r="E3" s="2" t="s">
        <v>33</v>
      </c>
      <c r="F3" s="2" t="s">
        <v>27</v>
      </c>
      <c r="G3" s="2" t="s">
        <v>34</v>
      </c>
      <c r="H3" s="2" t="s">
        <v>35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02-02-26</vt:lpstr>
      <vt:lpstr>03-02-26</vt:lpstr>
      <vt:lpstr>04-02-26</vt:lpstr>
      <vt:lpstr>05-02-26</vt:lpstr>
      <vt:lpstr>06-02-26</vt:lpstr>
      <vt:lpstr>07-02-26 </vt:lpstr>
      <vt:lpstr>09-02-26 </vt:lpstr>
      <vt:lpstr>Récap_Mensuel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2026-02-06T13:05:13Z</dcterms:created>
  <dcterms:modified xsi:type="dcterms:W3CDTF">2026-02-06T14:12:35Z</dcterms:modified>
</cp:coreProperties>
</file>