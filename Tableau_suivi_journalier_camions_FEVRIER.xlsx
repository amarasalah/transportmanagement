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ctory\Downloads\"/>
    </mc:Choice>
  </mc:AlternateContent>
  <xr:revisionPtr revIDLastSave="0" documentId="13_ncr:1_{CA1E83F3-CB63-44D8-B990-4DBC62A693B4}" xr6:coauthVersionLast="47" xr6:coauthVersionMax="47" xr10:uidLastSave="{00000000-0000-0000-0000-000000000000}"/>
  <bookViews>
    <workbookView xWindow="-120" yWindow="-120" windowWidth="24240" windowHeight="13140" firstSheet="1" activeTab="6" xr2:uid="{00000000-000D-0000-FFFF-FFFF00000000}"/>
  </bookViews>
  <sheets>
    <sheet name="02-02-26" sheetId="1" r:id="rId1"/>
    <sheet name="03-02-26" sheetId="17" r:id="rId2"/>
    <sheet name="04-02-26" sheetId="18" r:id="rId3"/>
    <sheet name="05-02-26" sheetId="16" r:id="rId4"/>
    <sheet name="06-02-26" sheetId="22" r:id="rId5"/>
    <sheet name="07-02-26 " sheetId="23" r:id="rId6"/>
    <sheet name="09-02-26" sheetId="25" r:id="rId7"/>
    <sheet name="10-02-26 " sheetId="21" r:id="rId8"/>
    <sheet name="RECAP 02-26" sheetId="24" r:id="rId9"/>
    <sheet name="Récap_Mensuel" sheetId="2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25" l="1"/>
  <c r="O26" i="25"/>
  <c r="N26" i="25"/>
  <c r="M26" i="25"/>
  <c r="L26" i="25"/>
  <c r="K26" i="25"/>
  <c r="H26" i="25"/>
  <c r="F26" i="25"/>
  <c r="R24" i="25"/>
  <c r="J24" i="25"/>
  <c r="P24" i="25" s="1"/>
  <c r="I24" i="25"/>
  <c r="J23" i="25"/>
  <c r="P23" i="25" s="1"/>
  <c r="R23" i="25" s="1"/>
  <c r="I23" i="25"/>
  <c r="J22" i="25"/>
  <c r="P22" i="25" s="1"/>
  <c r="R22" i="25" s="1"/>
  <c r="I22" i="25"/>
  <c r="J21" i="25"/>
  <c r="P21" i="25" s="1"/>
  <c r="R21" i="25" s="1"/>
  <c r="I21" i="25"/>
  <c r="J20" i="25"/>
  <c r="P20" i="25" s="1"/>
  <c r="R20" i="25" s="1"/>
  <c r="I20" i="25"/>
  <c r="J19" i="25"/>
  <c r="P19" i="25" s="1"/>
  <c r="R19" i="25" s="1"/>
  <c r="I19" i="25"/>
  <c r="J18" i="25"/>
  <c r="P18" i="25" s="1"/>
  <c r="R18" i="25" s="1"/>
  <c r="I18" i="25"/>
  <c r="J17" i="25"/>
  <c r="P17" i="25" s="1"/>
  <c r="R17" i="25" s="1"/>
  <c r="I17" i="25"/>
  <c r="J16" i="25"/>
  <c r="P16" i="25" s="1"/>
  <c r="R16" i="25" s="1"/>
  <c r="I16" i="25"/>
  <c r="J15" i="25"/>
  <c r="P15" i="25" s="1"/>
  <c r="R15" i="25" s="1"/>
  <c r="I15" i="25"/>
  <c r="J14" i="25"/>
  <c r="P14" i="25" s="1"/>
  <c r="R14" i="25" s="1"/>
  <c r="I14" i="25"/>
  <c r="J13" i="25"/>
  <c r="P13" i="25" s="1"/>
  <c r="R13" i="25" s="1"/>
  <c r="I13" i="25"/>
  <c r="J12" i="25"/>
  <c r="P12" i="25" s="1"/>
  <c r="R12" i="25" s="1"/>
  <c r="I12" i="25"/>
  <c r="J11" i="25"/>
  <c r="P11" i="25" s="1"/>
  <c r="R11" i="25" s="1"/>
  <c r="I11" i="25"/>
  <c r="J10" i="25"/>
  <c r="P10" i="25" s="1"/>
  <c r="R10" i="25" s="1"/>
  <c r="I10" i="25"/>
  <c r="J9" i="25"/>
  <c r="P9" i="25" s="1"/>
  <c r="R9" i="25" s="1"/>
  <c r="I9" i="25"/>
  <c r="J8" i="25"/>
  <c r="P8" i="25" s="1"/>
  <c r="R8" i="25" s="1"/>
  <c r="J7" i="25"/>
  <c r="P7" i="25" s="1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7" i="24"/>
  <c r="N8" i="24"/>
  <c r="N7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M8" i="24"/>
  <c r="M7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7" i="24"/>
  <c r="H8" i="24"/>
  <c r="J8" i="24" s="1"/>
  <c r="H9" i="24"/>
  <c r="J9" i="24" s="1"/>
  <c r="P9" i="24" s="1"/>
  <c r="R9" i="24" s="1"/>
  <c r="H10" i="24"/>
  <c r="H11" i="24"/>
  <c r="H12" i="24"/>
  <c r="J12" i="24" s="1"/>
  <c r="H13" i="24"/>
  <c r="H14" i="24"/>
  <c r="H15" i="24"/>
  <c r="J15" i="24" s="1"/>
  <c r="H16" i="24"/>
  <c r="H17" i="24"/>
  <c r="J17" i="24" s="1"/>
  <c r="P17" i="24" s="1"/>
  <c r="R17" i="24" s="1"/>
  <c r="H18" i="24"/>
  <c r="H19" i="24"/>
  <c r="J19" i="24" s="1"/>
  <c r="H20" i="24"/>
  <c r="H21" i="24"/>
  <c r="J21" i="24" s="1"/>
  <c r="P21" i="24" s="1"/>
  <c r="R21" i="24" s="1"/>
  <c r="H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7" i="24"/>
  <c r="F26" i="24" s="1"/>
  <c r="R24" i="24"/>
  <c r="I24" i="24"/>
  <c r="J24" i="24"/>
  <c r="P24" i="24"/>
  <c r="I23" i="24"/>
  <c r="J23" i="24"/>
  <c r="P23" i="24"/>
  <c r="R23" i="24"/>
  <c r="I22" i="24"/>
  <c r="J22" i="24"/>
  <c r="P22" i="24"/>
  <c r="R22" i="24"/>
  <c r="I21" i="24"/>
  <c r="I20" i="24"/>
  <c r="I19" i="24"/>
  <c r="I18" i="24"/>
  <c r="I17" i="24"/>
  <c r="I16" i="24"/>
  <c r="J16" i="24"/>
  <c r="I15" i="24"/>
  <c r="I14" i="24"/>
  <c r="J14" i="24"/>
  <c r="I13" i="24"/>
  <c r="J13" i="24"/>
  <c r="I12" i="24"/>
  <c r="I11" i="24"/>
  <c r="I10" i="24"/>
  <c r="I9" i="24"/>
  <c r="I8" i="24"/>
  <c r="I7" i="24"/>
  <c r="J18" i="24"/>
  <c r="J20" i="24"/>
  <c r="J10" i="24"/>
  <c r="J7" i="24"/>
  <c r="I8" i="16"/>
  <c r="J8" i="16"/>
  <c r="P8" i="16"/>
  <c r="R8" i="16"/>
  <c r="Q26" i="23"/>
  <c r="O26" i="23"/>
  <c r="N26" i="23"/>
  <c r="M26" i="23"/>
  <c r="L26" i="23"/>
  <c r="K26" i="23"/>
  <c r="H26" i="23"/>
  <c r="F26" i="23"/>
  <c r="R24" i="23"/>
  <c r="I24" i="23"/>
  <c r="J24" i="23"/>
  <c r="P24" i="23"/>
  <c r="I23" i="23"/>
  <c r="J23" i="23"/>
  <c r="P23" i="23"/>
  <c r="R23" i="23"/>
  <c r="I22" i="23"/>
  <c r="J22" i="23"/>
  <c r="P22" i="23"/>
  <c r="R22" i="23"/>
  <c r="I21" i="23"/>
  <c r="J21" i="23"/>
  <c r="P21" i="23"/>
  <c r="R21" i="23" s="1"/>
  <c r="I20" i="23"/>
  <c r="J20" i="23"/>
  <c r="P20" i="23"/>
  <c r="R20" i="23"/>
  <c r="I19" i="23"/>
  <c r="J19" i="23"/>
  <c r="P19" i="23"/>
  <c r="R19" i="23" s="1"/>
  <c r="I18" i="23"/>
  <c r="J18" i="23"/>
  <c r="P18" i="23"/>
  <c r="R18" i="23" s="1"/>
  <c r="I17" i="23"/>
  <c r="J17" i="23"/>
  <c r="P17" i="23"/>
  <c r="R17" i="23" s="1"/>
  <c r="I16" i="23"/>
  <c r="J16" i="23"/>
  <c r="P16" i="23"/>
  <c r="R16" i="23"/>
  <c r="I15" i="23"/>
  <c r="J15" i="23"/>
  <c r="P15" i="23"/>
  <c r="R15" i="23"/>
  <c r="I14" i="23"/>
  <c r="J14" i="23"/>
  <c r="P14" i="23"/>
  <c r="R14" i="23"/>
  <c r="I13" i="23"/>
  <c r="J13" i="23"/>
  <c r="P13" i="23"/>
  <c r="R13" i="23" s="1"/>
  <c r="I12" i="23"/>
  <c r="J12" i="23"/>
  <c r="P12" i="23"/>
  <c r="R12" i="23"/>
  <c r="I11" i="23"/>
  <c r="J11" i="23"/>
  <c r="P11" i="23"/>
  <c r="R11" i="23"/>
  <c r="I10" i="23"/>
  <c r="J10" i="23"/>
  <c r="P10" i="23"/>
  <c r="R10" i="23"/>
  <c r="I9" i="23"/>
  <c r="J9" i="23"/>
  <c r="P9" i="23"/>
  <c r="R9" i="23"/>
  <c r="I8" i="23"/>
  <c r="J8" i="23"/>
  <c r="P8" i="23"/>
  <c r="R8" i="23"/>
  <c r="I7" i="23"/>
  <c r="J7" i="23"/>
  <c r="Q26" i="22"/>
  <c r="O26" i="22"/>
  <c r="N26" i="22"/>
  <c r="M26" i="22"/>
  <c r="L26" i="22"/>
  <c r="K26" i="22"/>
  <c r="H26" i="22"/>
  <c r="F26" i="22"/>
  <c r="R24" i="22"/>
  <c r="I24" i="22"/>
  <c r="J24" i="22"/>
  <c r="P24" i="22"/>
  <c r="I23" i="22"/>
  <c r="J23" i="22"/>
  <c r="P23" i="22"/>
  <c r="R23" i="22"/>
  <c r="I22" i="22"/>
  <c r="J22" i="22"/>
  <c r="P22" i="22"/>
  <c r="R22" i="22"/>
  <c r="I21" i="22"/>
  <c r="J21" i="22"/>
  <c r="P21" i="22"/>
  <c r="R21" i="22"/>
  <c r="I20" i="22"/>
  <c r="J20" i="22"/>
  <c r="P20" i="22"/>
  <c r="R20" i="22"/>
  <c r="I19" i="22"/>
  <c r="J19" i="22"/>
  <c r="P19" i="22"/>
  <c r="R19" i="22"/>
  <c r="I18" i="22"/>
  <c r="J18" i="22"/>
  <c r="P18" i="22"/>
  <c r="R18" i="22"/>
  <c r="I17" i="22"/>
  <c r="J17" i="22"/>
  <c r="P17" i="22"/>
  <c r="R17" i="22"/>
  <c r="I16" i="22"/>
  <c r="J16" i="22"/>
  <c r="P16" i="22"/>
  <c r="R16" i="22"/>
  <c r="I15" i="22"/>
  <c r="J15" i="22"/>
  <c r="P15" i="22"/>
  <c r="R15" i="22"/>
  <c r="I14" i="22"/>
  <c r="J14" i="22"/>
  <c r="P14" i="22"/>
  <c r="R14" i="22"/>
  <c r="I13" i="22"/>
  <c r="J13" i="22"/>
  <c r="P13" i="22"/>
  <c r="R13" i="22"/>
  <c r="I12" i="22"/>
  <c r="J12" i="22"/>
  <c r="P12" i="22"/>
  <c r="R12" i="22"/>
  <c r="I11" i="22"/>
  <c r="J11" i="22"/>
  <c r="P11" i="22"/>
  <c r="R11" i="22"/>
  <c r="I10" i="22"/>
  <c r="J10" i="22"/>
  <c r="P10" i="22"/>
  <c r="R10" i="22"/>
  <c r="I9" i="22"/>
  <c r="J9" i="22"/>
  <c r="P9" i="22"/>
  <c r="R9" i="22"/>
  <c r="I8" i="22"/>
  <c r="J8" i="22"/>
  <c r="P8" i="22"/>
  <c r="R8" i="22"/>
  <c r="I7" i="22"/>
  <c r="J7" i="22"/>
  <c r="Q26" i="21"/>
  <c r="O26" i="21"/>
  <c r="N26" i="21"/>
  <c r="M26" i="21"/>
  <c r="L26" i="21"/>
  <c r="K26" i="21"/>
  <c r="H26" i="21"/>
  <c r="F26" i="21"/>
  <c r="R24" i="21"/>
  <c r="I24" i="21"/>
  <c r="J24" i="21"/>
  <c r="P24" i="21"/>
  <c r="I23" i="21"/>
  <c r="J23" i="21"/>
  <c r="P23" i="21"/>
  <c r="R23" i="21"/>
  <c r="I22" i="21"/>
  <c r="J22" i="21"/>
  <c r="P22" i="21"/>
  <c r="R22" i="21"/>
  <c r="I21" i="21"/>
  <c r="J21" i="21"/>
  <c r="P21" i="21"/>
  <c r="R21" i="21"/>
  <c r="I20" i="21"/>
  <c r="J20" i="21"/>
  <c r="P20" i="21"/>
  <c r="R20" i="21"/>
  <c r="I19" i="21"/>
  <c r="J19" i="21"/>
  <c r="P19" i="21"/>
  <c r="R19" i="21"/>
  <c r="I18" i="21"/>
  <c r="J18" i="21"/>
  <c r="P18" i="21"/>
  <c r="R18" i="21"/>
  <c r="I17" i="21"/>
  <c r="J17" i="21"/>
  <c r="P17" i="21"/>
  <c r="R17" i="21"/>
  <c r="I16" i="21"/>
  <c r="J16" i="21"/>
  <c r="P16" i="21"/>
  <c r="R16" i="21"/>
  <c r="I15" i="21"/>
  <c r="J15" i="21"/>
  <c r="P15" i="21"/>
  <c r="R15" i="21"/>
  <c r="I14" i="21"/>
  <c r="J14" i="21"/>
  <c r="P14" i="21"/>
  <c r="R14" i="21"/>
  <c r="I13" i="21"/>
  <c r="J13" i="21"/>
  <c r="P13" i="21"/>
  <c r="R13" i="21"/>
  <c r="I12" i="21"/>
  <c r="J12" i="21"/>
  <c r="P12" i="21"/>
  <c r="R12" i="21"/>
  <c r="I11" i="21"/>
  <c r="J11" i="21"/>
  <c r="P11" i="21"/>
  <c r="R11" i="21"/>
  <c r="I10" i="21"/>
  <c r="J10" i="21"/>
  <c r="P10" i="21"/>
  <c r="R10" i="21"/>
  <c r="I9" i="21"/>
  <c r="J9" i="21"/>
  <c r="P9" i="21"/>
  <c r="R9" i="21"/>
  <c r="I8" i="21"/>
  <c r="J8" i="21"/>
  <c r="P8" i="21"/>
  <c r="R8" i="21"/>
  <c r="I7" i="21"/>
  <c r="J7" i="21"/>
  <c r="I22" i="16"/>
  <c r="J22" i="16"/>
  <c r="P22" i="16"/>
  <c r="R22" i="16"/>
  <c r="N26" i="16"/>
  <c r="Q26" i="18"/>
  <c r="O26" i="18"/>
  <c r="N26" i="18"/>
  <c r="M26" i="18"/>
  <c r="L26" i="18"/>
  <c r="K26" i="18"/>
  <c r="H26" i="18"/>
  <c r="F26" i="18"/>
  <c r="R24" i="18"/>
  <c r="I24" i="18"/>
  <c r="J24" i="18"/>
  <c r="P24" i="18"/>
  <c r="R23" i="18"/>
  <c r="I23" i="18"/>
  <c r="J23" i="18"/>
  <c r="P23" i="18"/>
  <c r="I22" i="18"/>
  <c r="J22" i="18"/>
  <c r="P22" i="18"/>
  <c r="I21" i="18"/>
  <c r="J21" i="18"/>
  <c r="P21" i="18"/>
  <c r="R21" i="18"/>
  <c r="I20" i="18"/>
  <c r="J20" i="18"/>
  <c r="P20" i="18"/>
  <c r="R20" i="18" s="1"/>
  <c r="I19" i="18"/>
  <c r="J19" i="18"/>
  <c r="P19" i="18"/>
  <c r="R19" i="18"/>
  <c r="I18" i="18"/>
  <c r="J18" i="18"/>
  <c r="P18" i="18"/>
  <c r="R18" i="18"/>
  <c r="I17" i="18"/>
  <c r="J17" i="18"/>
  <c r="P17" i="18"/>
  <c r="R17" i="18"/>
  <c r="I16" i="18"/>
  <c r="J16" i="18"/>
  <c r="P16" i="18"/>
  <c r="R16" i="18"/>
  <c r="I15" i="18"/>
  <c r="J15" i="18"/>
  <c r="P15" i="18"/>
  <c r="R15" i="18"/>
  <c r="I14" i="18"/>
  <c r="J14" i="18"/>
  <c r="P14" i="18"/>
  <c r="R14" i="18" s="1"/>
  <c r="I13" i="18"/>
  <c r="J13" i="18"/>
  <c r="P13" i="18"/>
  <c r="R13" i="18"/>
  <c r="I12" i="18"/>
  <c r="J12" i="18"/>
  <c r="P12" i="18"/>
  <c r="R12" i="18"/>
  <c r="I11" i="18"/>
  <c r="J11" i="18"/>
  <c r="P11" i="18"/>
  <c r="R11" i="18"/>
  <c r="I10" i="18"/>
  <c r="J10" i="18"/>
  <c r="P10" i="18"/>
  <c r="I9" i="18"/>
  <c r="J9" i="18"/>
  <c r="P9" i="18"/>
  <c r="R9" i="18"/>
  <c r="I8" i="18"/>
  <c r="J8" i="18"/>
  <c r="P8" i="18"/>
  <c r="R8" i="18"/>
  <c r="I7" i="18"/>
  <c r="J7" i="18"/>
  <c r="Q26" i="17"/>
  <c r="O26" i="17"/>
  <c r="N26" i="17"/>
  <c r="M26" i="17"/>
  <c r="L26" i="17"/>
  <c r="K26" i="17"/>
  <c r="H26" i="17"/>
  <c r="F26" i="17"/>
  <c r="R24" i="17"/>
  <c r="I24" i="17"/>
  <c r="J24" i="17"/>
  <c r="P24" i="17"/>
  <c r="R23" i="17"/>
  <c r="I23" i="17"/>
  <c r="J23" i="17"/>
  <c r="P23" i="17"/>
  <c r="I22" i="17"/>
  <c r="J22" i="17"/>
  <c r="P22" i="17"/>
  <c r="I21" i="17"/>
  <c r="J21" i="17"/>
  <c r="P21" i="17"/>
  <c r="R21" i="17"/>
  <c r="I20" i="17"/>
  <c r="J20" i="17"/>
  <c r="P20" i="17"/>
  <c r="R20" i="17"/>
  <c r="I19" i="17"/>
  <c r="J19" i="17"/>
  <c r="P19" i="17"/>
  <c r="R19" i="17"/>
  <c r="I18" i="17"/>
  <c r="J18" i="17"/>
  <c r="P18" i="17"/>
  <c r="R18" i="17" s="1"/>
  <c r="I17" i="17"/>
  <c r="J17" i="17"/>
  <c r="P17" i="17"/>
  <c r="R17" i="17"/>
  <c r="I16" i="17"/>
  <c r="J16" i="17"/>
  <c r="P16" i="17"/>
  <c r="R16" i="17"/>
  <c r="I15" i="17"/>
  <c r="J15" i="17"/>
  <c r="P15" i="17"/>
  <c r="R15" i="17"/>
  <c r="I14" i="17"/>
  <c r="J14" i="17"/>
  <c r="P14" i="17"/>
  <c r="R14" i="17"/>
  <c r="I13" i="17"/>
  <c r="J13" i="17"/>
  <c r="P13" i="17"/>
  <c r="R13" i="17"/>
  <c r="I12" i="17"/>
  <c r="J12" i="17"/>
  <c r="P12" i="17"/>
  <c r="R12" i="17"/>
  <c r="I11" i="17"/>
  <c r="J11" i="17"/>
  <c r="P11" i="17"/>
  <c r="R11" i="17"/>
  <c r="I10" i="17"/>
  <c r="J10" i="17"/>
  <c r="P10" i="17"/>
  <c r="R10" i="17"/>
  <c r="I9" i="17"/>
  <c r="J9" i="17"/>
  <c r="P9" i="17"/>
  <c r="R9" i="17"/>
  <c r="I8" i="17"/>
  <c r="J8" i="17"/>
  <c r="P8" i="17"/>
  <c r="R8" i="17"/>
  <c r="I7" i="17"/>
  <c r="J7" i="17"/>
  <c r="Q26" i="16"/>
  <c r="O26" i="16"/>
  <c r="M26" i="16"/>
  <c r="L26" i="16"/>
  <c r="K26" i="16"/>
  <c r="H26" i="16"/>
  <c r="F26" i="16"/>
  <c r="R24" i="16"/>
  <c r="I24" i="16"/>
  <c r="J24" i="16"/>
  <c r="P24" i="16"/>
  <c r="I23" i="16"/>
  <c r="J23" i="16"/>
  <c r="P23" i="16"/>
  <c r="R23" i="16"/>
  <c r="I21" i="16"/>
  <c r="J21" i="16"/>
  <c r="P21" i="16"/>
  <c r="R21" i="16"/>
  <c r="I20" i="16"/>
  <c r="J20" i="16"/>
  <c r="P20" i="16"/>
  <c r="R20" i="16"/>
  <c r="I19" i="16"/>
  <c r="J19" i="16"/>
  <c r="P19" i="16"/>
  <c r="R19" i="16"/>
  <c r="I18" i="16"/>
  <c r="J18" i="16"/>
  <c r="P18" i="16"/>
  <c r="R18" i="16"/>
  <c r="I17" i="16"/>
  <c r="J17" i="16"/>
  <c r="P17" i="16"/>
  <c r="R17" i="16"/>
  <c r="I16" i="16"/>
  <c r="J16" i="16"/>
  <c r="P16" i="16"/>
  <c r="R16" i="16"/>
  <c r="I15" i="16"/>
  <c r="J15" i="16"/>
  <c r="P15" i="16"/>
  <c r="R15" i="16"/>
  <c r="I14" i="16"/>
  <c r="J14" i="16"/>
  <c r="P14" i="16"/>
  <c r="R14" i="16"/>
  <c r="I13" i="16"/>
  <c r="J13" i="16"/>
  <c r="P13" i="16"/>
  <c r="R13" i="16" s="1"/>
  <c r="I12" i="16"/>
  <c r="J12" i="16"/>
  <c r="P12" i="16"/>
  <c r="R12" i="16"/>
  <c r="I11" i="16"/>
  <c r="J11" i="16"/>
  <c r="P11" i="16"/>
  <c r="R11" i="16"/>
  <c r="I10" i="16"/>
  <c r="J10" i="16"/>
  <c r="P10" i="16"/>
  <c r="R10" i="16"/>
  <c r="I9" i="16"/>
  <c r="J9" i="16"/>
  <c r="P9" i="16"/>
  <c r="R9" i="16"/>
  <c r="I7" i="16"/>
  <c r="J7" i="16"/>
  <c r="M26" i="1"/>
  <c r="N26" i="1"/>
  <c r="O26" i="1"/>
  <c r="L26" i="1"/>
  <c r="K26" i="1"/>
  <c r="I8" i="1"/>
  <c r="J8" i="1"/>
  <c r="P8" i="1"/>
  <c r="R8" i="1"/>
  <c r="I10" i="1"/>
  <c r="J10" i="1"/>
  <c r="P10" i="1"/>
  <c r="R10" i="1"/>
  <c r="I14" i="1"/>
  <c r="J14" i="1"/>
  <c r="P14" i="1"/>
  <c r="R14" i="1"/>
  <c r="I15" i="1"/>
  <c r="J15" i="1"/>
  <c r="P15" i="1"/>
  <c r="R15" i="1"/>
  <c r="I17" i="1"/>
  <c r="J17" i="1"/>
  <c r="P17" i="1"/>
  <c r="I18" i="1"/>
  <c r="J18" i="1"/>
  <c r="P18" i="1"/>
  <c r="R18" i="1"/>
  <c r="I19" i="1"/>
  <c r="J19" i="1"/>
  <c r="P19" i="1"/>
  <c r="I21" i="1"/>
  <c r="J21" i="1"/>
  <c r="P21" i="1"/>
  <c r="R21" i="1"/>
  <c r="I22" i="1"/>
  <c r="J22" i="1"/>
  <c r="P22" i="1"/>
  <c r="I23" i="1"/>
  <c r="J23" i="1"/>
  <c r="P23" i="1"/>
  <c r="I24" i="1"/>
  <c r="J24" i="1"/>
  <c r="P24" i="1"/>
  <c r="Q26" i="1"/>
  <c r="H26" i="1"/>
  <c r="F26" i="1"/>
  <c r="R24" i="1"/>
  <c r="R23" i="1"/>
  <c r="I20" i="1"/>
  <c r="J20" i="1"/>
  <c r="P20" i="1"/>
  <c r="R20" i="1"/>
  <c r="R19" i="1"/>
  <c r="R17" i="1"/>
  <c r="I16" i="1"/>
  <c r="J16" i="1"/>
  <c r="P16" i="1"/>
  <c r="R16" i="1"/>
  <c r="I13" i="1"/>
  <c r="J13" i="1"/>
  <c r="P13" i="1"/>
  <c r="R13" i="1"/>
  <c r="I12" i="1"/>
  <c r="J12" i="1"/>
  <c r="P12" i="1"/>
  <c r="R12" i="1"/>
  <c r="I11" i="1"/>
  <c r="J11" i="1"/>
  <c r="P11" i="1"/>
  <c r="R11" i="1"/>
  <c r="I9" i="1"/>
  <c r="J9" i="1"/>
  <c r="P9" i="1"/>
  <c r="R9" i="1"/>
  <c r="I7" i="1"/>
  <c r="J7" i="1"/>
  <c r="P7" i="1"/>
  <c r="R7" i="1"/>
  <c r="J26" i="23"/>
  <c r="P7" i="23"/>
  <c r="J26" i="22"/>
  <c r="P7" i="22"/>
  <c r="P7" i="21"/>
  <c r="J26" i="21"/>
  <c r="P7" i="18"/>
  <c r="J26" i="18"/>
  <c r="P7" i="17"/>
  <c r="J26" i="17"/>
  <c r="P7" i="16"/>
  <c r="J26" i="16"/>
  <c r="R26" i="1"/>
  <c r="J26" i="1"/>
  <c r="P26" i="1"/>
  <c r="P26" i="22"/>
  <c r="R7" i="22"/>
  <c r="R26" i="22"/>
  <c r="P26" i="21"/>
  <c r="R7" i="21"/>
  <c r="R26" i="21"/>
  <c r="R7" i="18"/>
  <c r="R7" i="17"/>
  <c r="R7" i="16"/>
  <c r="J26" i="25" l="1"/>
  <c r="P26" i="16"/>
  <c r="R26" i="16"/>
  <c r="R26" i="17"/>
  <c r="P26" i="17"/>
  <c r="P26" i="18"/>
  <c r="P10" i="24"/>
  <c r="R10" i="24" s="1"/>
  <c r="R10" i="18"/>
  <c r="R26" i="18" s="1"/>
  <c r="P12" i="24"/>
  <c r="R12" i="24" s="1"/>
  <c r="P8" i="24"/>
  <c r="R8" i="24" s="1"/>
  <c r="P16" i="24"/>
  <c r="R16" i="24" s="1"/>
  <c r="M26" i="24"/>
  <c r="P19" i="24"/>
  <c r="P15" i="24"/>
  <c r="R15" i="24" s="1"/>
  <c r="H26" i="24"/>
  <c r="K26" i="24"/>
  <c r="P14" i="24"/>
  <c r="R14" i="24" s="1"/>
  <c r="P13" i="24"/>
  <c r="R13" i="24" s="1"/>
  <c r="L26" i="24"/>
  <c r="P20" i="24"/>
  <c r="R20" i="24" s="1"/>
  <c r="N26" i="24"/>
  <c r="O26" i="24"/>
  <c r="P18" i="24"/>
  <c r="R18" i="24" s="1"/>
  <c r="R19" i="24"/>
  <c r="J11" i="24"/>
  <c r="P11" i="24" s="1"/>
  <c r="R11" i="24" s="1"/>
  <c r="P7" i="24"/>
  <c r="Q26" i="24"/>
  <c r="P26" i="23"/>
  <c r="R7" i="23"/>
  <c r="R26" i="23" s="1"/>
  <c r="P26" i="25" l="1"/>
  <c r="R7" i="25"/>
  <c r="R26" i="25" s="1"/>
  <c r="J26" i="24"/>
  <c r="P26" i="24"/>
  <c r="R7" i="24"/>
  <c r="R26" i="24" s="1"/>
</calcChain>
</file>

<file path=xl/sharedStrings.xml><?xml version="1.0" encoding="utf-8"?>
<sst xmlns="http://schemas.openxmlformats.org/spreadsheetml/2006/main" count="849" uniqueCount="126">
  <si>
    <t>TABLEAU DE SUIVI JOURNALIER — CAMIONS (PRODUIT FINI &amp; MATIÈRE PREMIÈRE)</t>
  </si>
  <si>
    <t>Date</t>
  </si>
  <si>
    <t>Prix gasoil / L (par défaut)</t>
  </si>
  <si>
    <t>Devise</t>
  </si>
  <si>
    <t>TND</t>
  </si>
  <si>
    <t>Saisir les valeurs en bleu. Les colonnes Montant global gasoil, Coût total et Résultat se calculent automatiquement.</t>
  </si>
  <si>
    <t>N°</t>
  </si>
  <si>
    <t>Matricule camion</t>
  </si>
  <si>
    <t>Nom chauffeur</t>
  </si>
  <si>
    <t>Type transport</t>
  </si>
  <si>
    <t>Destination</t>
  </si>
  <si>
    <t>Kilométrage du jour (km)</t>
  </si>
  <si>
    <t>Kilométrage global (km)</t>
  </si>
  <si>
    <t>Prix gasoil / L</t>
  </si>
  <si>
    <t>Montant global gasoil</t>
  </si>
  <si>
    <t>Charges fixes</t>
  </si>
  <si>
    <t>Montant assurance</t>
  </si>
  <si>
    <t>Montant taxe</t>
  </si>
  <si>
    <t>Charge personnel</t>
  </si>
  <si>
    <t>Coût total</t>
  </si>
  <si>
    <t>Prix livraison</t>
  </si>
  <si>
    <t>Résultat (livraison - coût)</t>
  </si>
  <si>
    <t>Remarques</t>
  </si>
  <si>
    <t>TOTAL JOUR</t>
  </si>
  <si>
    <t>Total km jour</t>
  </si>
  <si>
    <t>Total gasoil (L)</t>
  </si>
  <si>
    <t>Total montant gasoil</t>
  </si>
  <si>
    <t>Total coûts</t>
  </si>
  <si>
    <t>Total prix livraison</t>
  </si>
  <si>
    <t>Résultat global</t>
  </si>
  <si>
    <t>RÉCAPITULATIF MENSUEL (optionnel) — à alimenter via consolidation des feuilles journalières</t>
  </si>
  <si>
    <t>Mois</t>
  </si>
  <si>
    <t>Total km</t>
  </si>
  <si>
    <t>Total coût gasoil</t>
  </si>
  <si>
    <t>Total livraisons</t>
  </si>
  <si>
    <t>Résultat</t>
  </si>
  <si>
    <t>8565 TU 257</t>
  </si>
  <si>
    <t>8563 TU 257</t>
  </si>
  <si>
    <t>5305 TU 236</t>
  </si>
  <si>
    <t>924 TU 98</t>
  </si>
  <si>
    <t>6980 TU 101</t>
  </si>
  <si>
    <t>7775 TU 252</t>
  </si>
  <si>
    <t>4176 TU 250</t>
  </si>
  <si>
    <t>3380 TU 104</t>
  </si>
  <si>
    <t>446 TU 228</t>
  </si>
  <si>
    <t>7243 TU 75</t>
  </si>
  <si>
    <t>4188 TU 80</t>
  </si>
  <si>
    <t>2318 TU 155</t>
  </si>
  <si>
    <t>788 TU 99</t>
  </si>
  <si>
    <t>8564 TU 257</t>
  </si>
  <si>
    <t>8566 TU 257</t>
  </si>
  <si>
    <t xml:space="preserve">CHOKAIRI </t>
  </si>
  <si>
    <t>LASSAD CHATAOUI</t>
  </si>
  <si>
    <t>HAMZA</t>
  </si>
  <si>
    <t xml:space="preserve">IKRAMI </t>
  </si>
  <si>
    <t>ABDELBARI</t>
  </si>
  <si>
    <t>JAMIL</t>
  </si>
  <si>
    <t>HEDI</t>
  </si>
  <si>
    <t>MALEK</t>
  </si>
  <si>
    <t>LASSAD AMRI</t>
  </si>
  <si>
    <t>SAMI</t>
  </si>
  <si>
    <t>KAMEL CH</t>
  </si>
  <si>
    <t>KAMEL ZAY</t>
  </si>
  <si>
    <t>CHOKRI THAMER</t>
  </si>
  <si>
    <t>HSAN REBII</t>
  </si>
  <si>
    <t>PLATEAU</t>
  </si>
  <si>
    <t>BENNE</t>
  </si>
  <si>
    <t>Quantité  gasoil (L)</t>
  </si>
  <si>
    <t>Maintenance</t>
  </si>
  <si>
    <t>*</t>
  </si>
  <si>
    <t>TUNIS</t>
  </si>
  <si>
    <t>SOUSSE</t>
  </si>
  <si>
    <t>DJERBA</t>
  </si>
  <si>
    <t>KEBILI/GABES</t>
  </si>
  <si>
    <t>MEHDIA/TUNIS</t>
  </si>
  <si>
    <t>OUDHREF</t>
  </si>
  <si>
    <t>CHAGRA/ CHAGRA</t>
  </si>
  <si>
    <t>FAIEDH/SP/2SB</t>
  </si>
  <si>
    <t>VIDANGE</t>
  </si>
  <si>
    <t>totale charge</t>
  </si>
  <si>
    <t xml:space="preserve">totale assurance </t>
  </si>
  <si>
    <t>totale taxe</t>
  </si>
  <si>
    <t>totale maint</t>
  </si>
  <si>
    <t>totale charge pers</t>
  </si>
  <si>
    <t>GAFSSA</t>
  </si>
  <si>
    <t>ZARZIS</t>
  </si>
  <si>
    <t>ELHAMMA</t>
  </si>
  <si>
    <t>CHAGRA/SB</t>
  </si>
  <si>
    <t>GABES</t>
  </si>
  <si>
    <t>BENGUERDENE</t>
  </si>
  <si>
    <t>PARC</t>
  </si>
  <si>
    <t>CHAGRA/ SB</t>
  </si>
  <si>
    <t>GHANOUCH</t>
  </si>
  <si>
    <t>GABES/DJERBA</t>
  </si>
  <si>
    <t>MAHDIA</t>
  </si>
  <si>
    <t>SUDB/SB/HICHA/SP</t>
  </si>
  <si>
    <t>FAYEDH/FAYEDH</t>
  </si>
  <si>
    <t>KAIROUAN/METOUIA</t>
  </si>
  <si>
    <t>KEBILI</t>
  </si>
  <si>
    <t>BENGUERDEN</t>
  </si>
  <si>
    <t>MEHDIA/MAZOUNA</t>
  </si>
  <si>
    <t>MAZOUNA</t>
  </si>
  <si>
    <t>CH/SP-HICH/SB</t>
  </si>
  <si>
    <t>SB-SP</t>
  </si>
  <si>
    <t>FAIEDH/SB/SP/HICH/SB</t>
  </si>
  <si>
    <t>Djerba</t>
  </si>
  <si>
    <t>ghannouch</t>
  </si>
  <si>
    <t>tunis</t>
  </si>
  <si>
    <t>zerziz</t>
  </si>
  <si>
    <t>skhira/gabes</t>
  </si>
  <si>
    <t>souk lahad gbelli</t>
  </si>
  <si>
    <t>CHAGRA/ sirep prefa                                 Hicha/sirep beton</t>
  </si>
  <si>
    <t>sirep prefa/feidh</t>
  </si>
  <si>
    <t>3380TU 104</t>
  </si>
  <si>
    <t>446TU228</t>
  </si>
  <si>
    <t>Zerziz/jerba</t>
  </si>
  <si>
    <t>SKHIRA</t>
  </si>
  <si>
    <t>SP/T,SOUDE</t>
  </si>
  <si>
    <t>Retour T.Soudé</t>
  </si>
  <si>
    <t>Tunis</t>
  </si>
  <si>
    <t>BEN GUERDENE</t>
  </si>
  <si>
    <t>Voyage fer de oudhref</t>
  </si>
  <si>
    <t>Voyage fer dsp</t>
  </si>
  <si>
    <t>GAFSA/SKHIRA</t>
  </si>
  <si>
    <t>CHAGRA</t>
  </si>
  <si>
    <t>FAIEDH/SB/SP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</si>
</sst>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  <font>
      <sz val="11"/>
      <color rgb="FF0000FF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EF8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right" vertical="center"/>
    </xf>
    <xf numFmtId="40" fontId="3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/>
    <xf numFmtId="3" fontId="6" fillId="5" borderId="1" xfId="0" applyNumberFormat="1" applyFont="1" applyFill="1" applyBorder="1" applyAlignment="1">
      <alignment horizontal="right" vertical="center"/>
    </xf>
    <xf numFmtId="40" fontId="6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40" fontId="0" fillId="3" borderId="1" xfId="0" applyNumberForma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7" borderId="0" xfId="0" applyFill="1"/>
    <xf numFmtId="0" fontId="3" fillId="8" borderId="1" xfId="0" applyFont="1" applyFill="1" applyBorder="1" applyAlignment="1">
      <alignment horizontal="left" vertical="center" wrapText="1"/>
    </xf>
    <xf numFmtId="40" fontId="3" fillId="9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0" fontId="9" fillId="9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3" fillId="0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="80" zoomScaleNormal="80" workbookViewId="0">
      <selection activeCell="O3" sqref="O3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46055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800</v>
      </c>
      <c r="G7" s="6"/>
      <c r="H7" s="16">
        <v>240</v>
      </c>
      <c r="I7" s="17">
        <f t="shared" ref="I7:I24" si="0">$F$3</f>
        <v>2</v>
      </c>
      <c r="J7" s="7">
        <f t="shared" ref="J7:J24" si="1">IF(OR(H7="",I7=""),0,H7*I7)</f>
        <v>480</v>
      </c>
      <c r="K7" s="8">
        <v>400</v>
      </c>
      <c r="L7" s="8">
        <v>32</v>
      </c>
      <c r="M7" s="8">
        <v>20</v>
      </c>
      <c r="N7" s="25"/>
      <c r="O7" s="8">
        <v>80</v>
      </c>
      <c r="P7" s="7">
        <f>J7+N(K7)+N(L7)+N(M7)+N(O7)+N7</f>
        <v>1012</v>
      </c>
      <c r="Q7" s="8">
        <v>500</v>
      </c>
      <c r="R7" s="7">
        <f t="shared" ref="R7:R24" si="2">IF(Q7="","",N(Q7)-P7)</f>
        <v>-512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800</v>
      </c>
      <c r="G8" s="6"/>
      <c r="H8" s="16">
        <v>240</v>
      </c>
      <c r="I8" s="17">
        <f t="shared" si="0"/>
        <v>2</v>
      </c>
      <c r="J8" s="7">
        <f t="shared" si="1"/>
        <v>480</v>
      </c>
      <c r="K8" s="8">
        <v>400</v>
      </c>
      <c r="L8" s="8">
        <v>32</v>
      </c>
      <c r="M8" s="8">
        <v>20</v>
      </c>
      <c r="N8" s="29">
        <v>1070</v>
      </c>
      <c r="O8" s="8">
        <v>80</v>
      </c>
      <c r="P8" s="7">
        <f t="shared" ref="P8:P24" si="3">J8+N(K8)+N(L8)+N(M8)+N(O8)+N8</f>
        <v>2082</v>
      </c>
      <c r="Q8" s="8">
        <v>500</v>
      </c>
      <c r="R8" s="7">
        <f t="shared" si="2"/>
        <v>-1582</v>
      </c>
      <c r="S8" s="4" t="s">
        <v>78</v>
      </c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300</v>
      </c>
      <c r="G9" s="6"/>
      <c r="H9" s="16">
        <v>120</v>
      </c>
      <c r="I9" s="17">
        <f t="shared" si="0"/>
        <v>2</v>
      </c>
      <c r="J9" s="7">
        <f t="shared" si="1"/>
        <v>240</v>
      </c>
      <c r="K9" s="8">
        <v>80</v>
      </c>
      <c r="L9" s="8">
        <v>20</v>
      </c>
      <c r="M9" s="8">
        <v>20</v>
      </c>
      <c r="N9" s="25"/>
      <c r="O9" s="8">
        <v>80</v>
      </c>
      <c r="P9" s="7">
        <f t="shared" si="3"/>
        <v>440</v>
      </c>
      <c r="Q9" s="8">
        <v>590</v>
      </c>
      <c r="R9" s="7">
        <f t="shared" si="2"/>
        <v>150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340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25"/>
      <c r="O10" s="8">
        <v>80</v>
      </c>
      <c r="P10" s="7">
        <f t="shared" si="3"/>
        <v>440</v>
      </c>
      <c r="Q10" s="8">
        <v>590</v>
      </c>
      <c r="R10" s="7">
        <f t="shared" si="2"/>
        <v>150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434</v>
      </c>
      <c r="G11" s="6"/>
      <c r="H11" s="16">
        <v>125</v>
      </c>
      <c r="I11" s="17">
        <f t="shared" si="0"/>
        <v>2</v>
      </c>
      <c r="J11" s="7">
        <f t="shared" si="1"/>
        <v>250</v>
      </c>
      <c r="K11" s="8">
        <v>80</v>
      </c>
      <c r="L11" s="8">
        <v>20</v>
      </c>
      <c r="M11" s="8">
        <v>20</v>
      </c>
      <c r="N11" s="25"/>
      <c r="O11" s="8">
        <v>80</v>
      </c>
      <c r="P11" s="7">
        <f t="shared" si="3"/>
        <v>450</v>
      </c>
      <c r="Q11" s="8">
        <v>650</v>
      </c>
      <c r="R11" s="7">
        <f t="shared" si="2"/>
        <v>200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1220</v>
      </c>
      <c r="G12" s="6"/>
      <c r="H12" s="16">
        <v>360</v>
      </c>
      <c r="I12" s="17">
        <f t="shared" si="0"/>
        <v>2</v>
      </c>
      <c r="J12" s="7">
        <f t="shared" si="1"/>
        <v>720</v>
      </c>
      <c r="K12" s="8">
        <v>400</v>
      </c>
      <c r="L12" s="8">
        <v>20</v>
      </c>
      <c r="M12" s="8">
        <v>20</v>
      </c>
      <c r="N12" s="25"/>
      <c r="O12" s="8">
        <v>80</v>
      </c>
      <c r="P12" s="7">
        <f t="shared" si="3"/>
        <v>1240</v>
      </c>
      <c r="Q12" s="8">
        <v>1090</v>
      </c>
      <c r="R12" s="7">
        <f t="shared" si="2"/>
        <v>-150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800</v>
      </c>
      <c r="G13" s="6"/>
      <c r="H13" s="16">
        <v>240</v>
      </c>
      <c r="I13" s="17">
        <f t="shared" si="0"/>
        <v>2</v>
      </c>
      <c r="J13" s="7">
        <f t="shared" si="1"/>
        <v>480</v>
      </c>
      <c r="K13" s="8">
        <v>400</v>
      </c>
      <c r="L13" s="8">
        <v>32</v>
      </c>
      <c r="M13" s="8">
        <v>20</v>
      </c>
      <c r="N13" s="25"/>
      <c r="O13" s="8">
        <v>80</v>
      </c>
      <c r="P13" s="7">
        <f t="shared" si="3"/>
        <v>1012</v>
      </c>
      <c r="Q13" s="8">
        <v>500</v>
      </c>
      <c r="R13" s="7">
        <f t="shared" si="2"/>
        <v>-512</v>
      </c>
      <c r="S13" s="4"/>
    </row>
    <row r="14" spans="1:19" x14ac:dyDescent="0.25">
      <c r="A14" s="3">
        <v>8</v>
      </c>
      <c r="B14" s="4" t="s">
        <v>44</v>
      </c>
      <c r="C14" s="4" t="s">
        <v>58</v>
      </c>
      <c r="D14" s="5" t="s">
        <v>65</v>
      </c>
      <c r="E14" s="19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25"/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19"/>
      <c r="F15" s="6"/>
      <c r="G15" s="6"/>
      <c r="H15" s="16"/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25"/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80</v>
      </c>
      <c r="G16" s="6"/>
      <c r="H16" s="16">
        <v>30</v>
      </c>
      <c r="I16" s="17">
        <f t="shared" si="0"/>
        <v>2</v>
      </c>
      <c r="J16" s="7">
        <f t="shared" si="1"/>
        <v>60</v>
      </c>
      <c r="K16" s="8">
        <v>80</v>
      </c>
      <c r="L16" s="8">
        <v>20</v>
      </c>
      <c r="M16" s="8">
        <v>20</v>
      </c>
      <c r="N16" s="25"/>
      <c r="O16" s="8">
        <v>80</v>
      </c>
      <c r="P16" s="7">
        <f t="shared" si="3"/>
        <v>260</v>
      </c>
      <c r="Q16" s="8">
        <v>200</v>
      </c>
      <c r="R16" s="7">
        <f t="shared" si="2"/>
        <v>-60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25"/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200</v>
      </c>
      <c r="G18" s="6"/>
      <c r="H18" s="16">
        <v>65</v>
      </c>
      <c r="I18" s="17">
        <f t="shared" si="0"/>
        <v>2</v>
      </c>
      <c r="J18" s="7">
        <f t="shared" si="1"/>
        <v>130</v>
      </c>
      <c r="K18" s="8">
        <v>80</v>
      </c>
      <c r="L18" s="8">
        <v>20</v>
      </c>
      <c r="M18" s="8">
        <v>20</v>
      </c>
      <c r="N18" s="25"/>
      <c r="O18" s="8">
        <v>80</v>
      </c>
      <c r="P18" s="7">
        <f t="shared" si="3"/>
        <v>330</v>
      </c>
      <c r="Q18" s="8">
        <v>500</v>
      </c>
      <c r="R18" s="7">
        <f t="shared" si="2"/>
        <v>170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25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400</v>
      </c>
      <c r="G20" s="6"/>
      <c r="H20" s="16">
        <v>135</v>
      </c>
      <c r="I20" s="17">
        <f t="shared" si="0"/>
        <v>2</v>
      </c>
      <c r="J20" s="7">
        <f t="shared" si="1"/>
        <v>270</v>
      </c>
      <c r="K20" s="8">
        <v>400</v>
      </c>
      <c r="L20" s="8">
        <v>32</v>
      </c>
      <c r="M20" s="8">
        <v>20</v>
      </c>
      <c r="N20" s="25"/>
      <c r="O20" s="8">
        <v>80</v>
      </c>
      <c r="P20" s="7">
        <f t="shared" si="3"/>
        <v>802</v>
      </c>
      <c r="Q20" s="8">
        <v>980</v>
      </c>
      <c r="R20" s="7">
        <f t="shared" si="2"/>
        <v>178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400</v>
      </c>
      <c r="G21" s="6"/>
      <c r="H21" s="16">
        <v>135</v>
      </c>
      <c r="I21" s="17">
        <f t="shared" si="0"/>
        <v>2</v>
      </c>
      <c r="J21" s="7">
        <f t="shared" si="1"/>
        <v>270</v>
      </c>
      <c r="K21" s="8">
        <v>400</v>
      </c>
      <c r="L21" s="8">
        <v>32</v>
      </c>
      <c r="M21" s="8">
        <v>20</v>
      </c>
      <c r="N21" s="25"/>
      <c r="O21" s="8">
        <v>80</v>
      </c>
      <c r="P21" s="7">
        <f t="shared" si="3"/>
        <v>802</v>
      </c>
      <c r="Q21" s="8">
        <v>980</v>
      </c>
      <c r="R21" s="7">
        <f t="shared" si="2"/>
        <v>178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/>
      <c r="O22" s="8">
        <v>0</v>
      </c>
      <c r="P22" s="7">
        <f t="shared" si="3"/>
        <v>0</v>
      </c>
      <c r="Q22" s="8"/>
      <c r="R22" s="7"/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5774</v>
      </c>
      <c r="G26" s="10"/>
      <c r="H26" s="18">
        <f>SUM(H7:H24)</f>
        <v>1810</v>
      </c>
      <c r="I26" s="10"/>
      <c r="J26" s="12">
        <f>SUM(J7:J24)</f>
        <v>3620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 t="shared" si="4"/>
        <v>1070</v>
      </c>
      <c r="O26" s="20">
        <f t="shared" si="4"/>
        <v>1200</v>
      </c>
      <c r="P26" s="12">
        <f>SUM(P7:P24)</f>
        <v>9670</v>
      </c>
      <c r="Q26" s="12">
        <f>SUM(Q7:Q24)</f>
        <v>7080</v>
      </c>
      <c r="R26" s="12">
        <f>SUM(R7:R24)</f>
        <v>-2590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D3:E3"/>
    <mergeCell ref="A3:B3"/>
    <mergeCell ref="G3:H3"/>
    <mergeCell ref="A4:S4"/>
  </mergeCells>
  <conditionalFormatting sqref="R7:R24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zoomScale="80" zoomScaleNormal="80" workbookViewId="0">
      <selection activeCell="N18" sqref="N18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46056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/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25"/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84</v>
      </c>
      <c r="F8" s="6">
        <v>300</v>
      </c>
      <c r="G8" s="6"/>
      <c r="H8" s="16">
        <v>90</v>
      </c>
      <c r="I8" s="17">
        <f t="shared" si="0"/>
        <v>2</v>
      </c>
      <c r="J8" s="7">
        <f t="shared" si="1"/>
        <v>180</v>
      </c>
      <c r="K8" s="8">
        <v>400</v>
      </c>
      <c r="L8" s="8">
        <v>32</v>
      </c>
      <c r="M8" s="8">
        <v>20</v>
      </c>
      <c r="N8" s="25">
        <v>0</v>
      </c>
      <c r="O8" s="8">
        <v>80</v>
      </c>
      <c r="P8" s="7">
        <f t="shared" ref="P8:P24" si="3">J8+N(K8)+N(L8)+N(M8)+N(O8)+N8</f>
        <v>712</v>
      </c>
      <c r="Q8" s="8">
        <v>600</v>
      </c>
      <c r="R8" s="7">
        <f t="shared" si="2"/>
        <v>-112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 t="s">
        <v>85</v>
      </c>
      <c r="F9" s="6">
        <v>414</v>
      </c>
      <c r="G9" s="6"/>
      <c r="H9" s="16">
        <v>145</v>
      </c>
      <c r="I9" s="17">
        <f t="shared" si="0"/>
        <v>2</v>
      </c>
      <c r="J9" s="7">
        <f t="shared" si="1"/>
        <v>290</v>
      </c>
      <c r="K9" s="8">
        <v>80</v>
      </c>
      <c r="L9" s="8">
        <v>20</v>
      </c>
      <c r="M9" s="8">
        <v>20</v>
      </c>
      <c r="N9" s="25"/>
      <c r="O9" s="8">
        <v>80</v>
      </c>
      <c r="P9" s="7">
        <f t="shared" si="3"/>
        <v>490</v>
      </c>
      <c r="Q9" s="8">
        <v>524</v>
      </c>
      <c r="R9" s="7">
        <f t="shared" si="2"/>
        <v>34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25"/>
      <c r="O10" s="8">
        <v>80</v>
      </c>
      <c r="P10" s="7">
        <f t="shared" si="3"/>
        <v>440</v>
      </c>
      <c r="Q10" s="8">
        <v>553</v>
      </c>
      <c r="R10" s="7">
        <f t="shared" si="2"/>
        <v>113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86</v>
      </c>
      <c r="F11" s="6">
        <v>180</v>
      </c>
      <c r="G11" s="6"/>
      <c r="H11" s="16">
        <v>40</v>
      </c>
      <c r="I11" s="17">
        <f t="shared" si="0"/>
        <v>2</v>
      </c>
      <c r="J11" s="7">
        <f t="shared" si="1"/>
        <v>80</v>
      </c>
      <c r="K11" s="8">
        <v>80</v>
      </c>
      <c r="L11" s="8">
        <v>20</v>
      </c>
      <c r="M11" s="8">
        <v>20</v>
      </c>
      <c r="N11" s="25"/>
      <c r="O11" s="8">
        <v>80</v>
      </c>
      <c r="P11" s="7">
        <f t="shared" si="3"/>
        <v>280</v>
      </c>
      <c r="Q11" s="8">
        <v>234</v>
      </c>
      <c r="R11" s="7">
        <f t="shared" si="2"/>
        <v>-46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/>
      <c r="F12" s="6"/>
      <c r="G12" s="6"/>
      <c r="H12" s="16"/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25"/>
      <c r="O12" s="8">
        <v>80</v>
      </c>
      <c r="P12" s="7">
        <f t="shared" si="3"/>
        <v>520</v>
      </c>
      <c r="Q12" s="8">
        <v>1090</v>
      </c>
      <c r="R12" s="7">
        <f t="shared" si="2"/>
        <v>570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/>
      <c r="F13" s="6"/>
      <c r="G13" s="6"/>
      <c r="H13" s="16"/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25"/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25">
      <c r="A14" s="3">
        <v>8</v>
      </c>
      <c r="B14" s="4" t="s">
        <v>44</v>
      </c>
      <c r="C14" s="4" t="s">
        <v>58</v>
      </c>
      <c r="D14" s="5" t="s">
        <v>65</v>
      </c>
      <c r="E14" s="19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25"/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19"/>
      <c r="F15" s="6"/>
      <c r="G15" s="6"/>
      <c r="H15" s="16"/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25">
        <v>446.25</v>
      </c>
      <c r="O15" s="8">
        <v>80</v>
      </c>
      <c r="P15" s="7">
        <f t="shared" si="3"/>
        <v>646.25</v>
      </c>
      <c r="Q15" s="8">
        <v>0</v>
      </c>
      <c r="R15" s="7">
        <f t="shared" si="2"/>
        <v>-646.25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80</v>
      </c>
      <c r="G16" s="6"/>
      <c r="H16" s="16">
        <v>30</v>
      </c>
      <c r="I16" s="17">
        <f t="shared" si="0"/>
        <v>2</v>
      </c>
      <c r="J16" s="7">
        <f t="shared" si="1"/>
        <v>60</v>
      </c>
      <c r="K16" s="8">
        <v>80</v>
      </c>
      <c r="L16" s="8">
        <v>20</v>
      </c>
      <c r="M16" s="8">
        <v>20</v>
      </c>
      <c r="N16" s="25"/>
      <c r="O16" s="8">
        <v>80</v>
      </c>
      <c r="P16" s="7">
        <f t="shared" si="3"/>
        <v>260</v>
      </c>
      <c r="Q16" s="8">
        <v>200</v>
      </c>
      <c r="R16" s="7">
        <f t="shared" si="2"/>
        <v>-60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25"/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87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25">
        <v>119</v>
      </c>
      <c r="O18" s="8">
        <v>80</v>
      </c>
      <c r="P18" s="7">
        <f t="shared" si="3"/>
        <v>559</v>
      </c>
      <c r="Q18" s="8">
        <v>800</v>
      </c>
      <c r="R18" s="7">
        <f t="shared" si="2"/>
        <v>241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25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300</v>
      </c>
      <c r="G20" s="6"/>
      <c r="H20" s="16">
        <v>100</v>
      </c>
      <c r="I20" s="17">
        <f t="shared" si="0"/>
        <v>2</v>
      </c>
      <c r="J20" s="7">
        <f t="shared" si="1"/>
        <v>200</v>
      </c>
      <c r="K20" s="8">
        <v>400</v>
      </c>
      <c r="L20" s="8">
        <v>32</v>
      </c>
      <c r="M20" s="8">
        <v>20</v>
      </c>
      <c r="N20" s="25"/>
      <c r="O20" s="8">
        <v>80</v>
      </c>
      <c r="P20" s="7">
        <f t="shared" si="3"/>
        <v>732</v>
      </c>
      <c r="Q20" s="8">
        <v>960</v>
      </c>
      <c r="R20" s="7">
        <f t="shared" si="2"/>
        <v>228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300</v>
      </c>
      <c r="G21" s="6"/>
      <c r="H21" s="16">
        <v>100</v>
      </c>
      <c r="I21" s="17">
        <f t="shared" si="0"/>
        <v>2</v>
      </c>
      <c r="J21" s="7">
        <f t="shared" si="1"/>
        <v>200</v>
      </c>
      <c r="K21" s="8">
        <v>400</v>
      </c>
      <c r="L21" s="8">
        <v>32</v>
      </c>
      <c r="M21" s="8">
        <v>20</v>
      </c>
      <c r="N21" s="25"/>
      <c r="O21" s="8">
        <v>80</v>
      </c>
      <c r="P21" s="7">
        <f t="shared" si="3"/>
        <v>732</v>
      </c>
      <c r="Q21" s="8">
        <v>960</v>
      </c>
      <c r="R21" s="7">
        <f t="shared" si="2"/>
        <v>228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/>
      <c r="O22" s="8">
        <v>0</v>
      </c>
      <c r="P22" s="7">
        <f t="shared" si="3"/>
        <v>0</v>
      </c>
      <c r="Q22" s="8"/>
      <c r="R22" s="7"/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2274</v>
      </c>
      <c r="G26" s="10"/>
      <c r="H26" s="18">
        <f>SUM(H7:H24)</f>
        <v>745</v>
      </c>
      <c r="I26" s="10"/>
      <c r="J26" s="12">
        <f>SUM(J7:J24)</f>
        <v>1490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 t="shared" si="4"/>
        <v>565.25</v>
      </c>
      <c r="O26" s="20">
        <f t="shared" si="4"/>
        <v>1200</v>
      </c>
      <c r="P26" s="12">
        <f>SUM(P7:P24)</f>
        <v>7035.25</v>
      </c>
      <c r="Q26" s="12">
        <f>SUM(Q7:Q24)</f>
        <v>5921</v>
      </c>
      <c r="R26" s="12">
        <f>SUM(R7:R24)</f>
        <v>-1114.25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80" zoomScaleNormal="80" workbookViewId="0">
      <selection activeCell="N10" sqref="N10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46057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85</v>
      </c>
      <c r="F7" s="6">
        <v>414</v>
      </c>
      <c r="G7" s="6"/>
      <c r="H7" s="16">
        <v>125</v>
      </c>
      <c r="I7" s="17">
        <f t="shared" ref="I7:I24" si="0">$F$3</f>
        <v>2</v>
      </c>
      <c r="J7" s="7">
        <f t="shared" ref="J7:J24" si="1">IF(OR(H7="",I7=""),0,H7*I7)</f>
        <v>250</v>
      </c>
      <c r="K7" s="8">
        <v>400</v>
      </c>
      <c r="L7" s="8">
        <v>32</v>
      </c>
      <c r="M7" s="8">
        <v>20</v>
      </c>
      <c r="N7" s="25"/>
      <c r="O7" s="8">
        <v>80</v>
      </c>
      <c r="P7" s="7">
        <f>J7+N(K7)+N(L7)+N(M7)+N(O7)+N7</f>
        <v>782</v>
      </c>
      <c r="Q7" s="8">
        <v>524</v>
      </c>
      <c r="R7" s="7">
        <f t="shared" ref="R7:R24" si="2">IF(Q7="","",N(Q7)-P7)</f>
        <v>-258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414</v>
      </c>
      <c r="G8" s="6"/>
      <c r="H8" s="16">
        <v>125</v>
      </c>
      <c r="I8" s="17">
        <f t="shared" si="0"/>
        <v>2</v>
      </c>
      <c r="J8" s="7">
        <f t="shared" si="1"/>
        <v>250</v>
      </c>
      <c r="K8" s="8">
        <v>400</v>
      </c>
      <c r="L8" s="8">
        <v>32</v>
      </c>
      <c r="M8" s="8">
        <v>20</v>
      </c>
      <c r="N8" s="25"/>
      <c r="O8" s="8">
        <v>80</v>
      </c>
      <c r="P8" s="7">
        <f t="shared" ref="P8:P24" si="3">J8+N(K8)+N(L8)+N(M8)+N(O8)+N8</f>
        <v>782</v>
      </c>
      <c r="Q8" s="8">
        <v>524</v>
      </c>
      <c r="R8" s="7">
        <f t="shared" si="2"/>
        <v>-258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 t="s">
        <v>75</v>
      </c>
      <c r="F9" s="6">
        <v>80</v>
      </c>
      <c r="G9" s="6"/>
      <c r="H9" s="16">
        <v>30</v>
      </c>
      <c r="I9" s="17">
        <f t="shared" si="0"/>
        <v>2</v>
      </c>
      <c r="J9" s="7">
        <f t="shared" si="1"/>
        <v>60</v>
      </c>
      <c r="K9" s="8">
        <v>80</v>
      </c>
      <c r="L9" s="8">
        <v>20</v>
      </c>
      <c r="M9" s="8">
        <v>20</v>
      </c>
      <c r="N9" s="25"/>
      <c r="O9" s="8">
        <v>80</v>
      </c>
      <c r="P9" s="7">
        <f t="shared" si="3"/>
        <v>260</v>
      </c>
      <c r="Q9" s="8">
        <v>187</v>
      </c>
      <c r="R9" s="7">
        <f t="shared" si="2"/>
        <v>-73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25">
        <v>1225.2239999999999</v>
      </c>
      <c r="O10" s="8">
        <v>80</v>
      </c>
      <c r="P10" s="7">
        <f t="shared" si="3"/>
        <v>1665.2239999999999</v>
      </c>
      <c r="Q10" s="8">
        <v>553</v>
      </c>
      <c r="R10" s="7">
        <f t="shared" si="2"/>
        <v>-1112.2239999999999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88</v>
      </c>
      <c r="F11" s="6">
        <v>140</v>
      </c>
      <c r="G11" s="6"/>
      <c r="H11" s="16">
        <v>40</v>
      </c>
      <c r="I11" s="17">
        <f t="shared" si="0"/>
        <v>2</v>
      </c>
      <c r="J11" s="7">
        <f t="shared" si="1"/>
        <v>80</v>
      </c>
      <c r="K11" s="8">
        <v>80</v>
      </c>
      <c r="L11" s="8">
        <v>20</v>
      </c>
      <c r="M11" s="8">
        <v>20</v>
      </c>
      <c r="N11" s="25">
        <v>420.95699999999999</v>
      </c>
      <c r="O11" s="8">
        <v>80</v>
      </c>
      <c r="P11" s="7">
        <f t="shared" si="3"/>
        <v>700.95699999999999</v>
      </c>
      <c r="Q11" s="8">
        <v>234</v>
      </c>
      <c r="R11" s="7">
        <f t="shared" si="2"/>
        <v>-466.95699999999999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/>
      <c r="G12" s="6"/>
      <c r="H12" s="16"/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25"/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89</v>
      </c>
      <c r="F13" s="6">
        <v>440</v>
      </c>
      <c r="G13" s="6"/>
      <c r="H13" s="16">
        <v>140</v>
      </c>
      <c r="I13" s="17">
        <f t="shared" si="0"/>
        <v>2</v>
      </c>
      <c r="J13" s="7">
        <f t="shared" si="1"/>
        <v>280</v>
      </c>
      <c r="K13" s="8">
        <v>400</v>
      </c>
      <c r="L13" s="8">
        <v>32</v>
      </c>
      <c r="M13" s="8">
        <v>20</v>
      </c>
      <c r="N13" s="25"/>
      <c r="O13" s="8">
        <v>80</v>
      </c>
      <c r="P13" s="7">
        <f t="shared" si="3"/>
        <v>812</v>
      </c>
      <c r="Q13" s="8">
        <v>670</v>
      </c>
      <c r="R13" s="7">
        <f t="shared" si="2"/>
        <v>-142</v>
      </c>
      <c r="S13" s="4"/>
    </row>
    <row r="14" spans="1:19" x14ac:dyDescent="0.25">
      <c r="A14" s="3">
        <v>8</v>
      </c>
      <c r="B14" s="4" t="s">
        <v>44</v>
      </c>
      <c r="C14" s="4" t="s">
        <v>58</v>
      </c>
      <c r="D14" s="5" t="s">
        <v>65</v>
      </c>
      <c r="E14" s="19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25">
        <v>620</v>
      </c>
      <c r="O14" s="8">
        <v>80</v>
      </c>
      <c r="P14" s="7">
        <f t="shared" si="3"/>
        <v>820</v>
      </c>
      <c r="Q14" s="8">
        <v>0</v>
      </c>
      <c r="R14" s="7">
        <f t="shared" si="2"/>
        <v>-820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4" t="s">
        <v>88</v>
      </c>
      <c r="F15" s="6">
        <v>140</v>
      </c>
      <c r="G15" s="6"/>
      <c r="H15" s="16">
        <v>40</v>
      </c>
      <c r="I15" s="17">
        <f t="shared" si="0"/>
        <v>2</v>
      </c>
      <c r="J15" s="7">
        <f t="shared" si="1"/>
        <v>80</v>
      </c>
      <c r="K15" s="8">
        <v>80</v>
      </c>
      <c r="L15" s="8">
        <v>20</v>
      </c>
      <c r="M15" s="8">
        <v>20</v>
      </c>
      <c r="N15" s="25"/>
      <c r="O15" s="8">
        <v>80</v>
      </c>
      <c r="P15" s="7">
        <f t="shared" si="3"/>
        <v>280</v>
      </c>
      <c r="Q15" s="8">
        <v>234</v>
      </c>
      <c r="R15" s="7">
        <f t="shared" si="2"/>
        <v>-46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90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25"/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25">
        <v>673.65899999999999</v>
      </c>
      <c r="O17" s="8">
        <v>80</v>
      </c>
      <c r="P17" s="7">
        <f t="shared" si="3"/>
        <v>873.65899999999999</v>
      </c>
      <c r="Q17" s="8">
        <v>0</v>
      </c>
      <c r="R17" s="7">
        <f t="shared" si="2"/>
        <v>-873.65899999999999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91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25"/>
      <c r="O18" s="8">
        <v>80</v>
      </c>
      <c r="P18" s="7">
        <f t="shared" si="3"/>
        <v>440</v>
      </c>
      <c r="Q18" s="8">
        <v>800</v>
      </c>
      <c r="R18" s="7">
        <f t="shared" si="2"/>
        <v>360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25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400</v>
      </c>
      <c r="G20" s="6"/>
      <c r="H20" s="16">
        <v>135</v>
      </c>
      <c r="I20" s="17">
        <f t="shared" si="0"/>
        <v>2</v>
      </c>
      <c r="J20" s="7">
        <f t="shared" si="1"/>
        <v>270</v>
      </c>
      <c r="K20" s="8">
        <v>400</v>
      </c>
      <c r="L20" s="8">
        <v>32</v>
      </c>
      <c r="M20" s="8">
        <v>20</v>
      </c>
      <c r="N20" s="25">
        <v>373.38499999999999</v>
      </c>
      <c r="O20" s="8">
        <v>80</v>
      </c>
      <c r="P20" s="7">
        <f t="shared" si="3"/>
        <v>1175.385</v>
      </c>
      <c r="Q20" s="8">
        <v>980</v>
      </c>
      <c r="R20" s="7">
        <f t="shared" si="2"/>
        <v>-195.38499999999999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400</v>
      </c>
      <c r="G21" s="6"/>
      <c r="H21" s="16">
        <v>135</v>
      </c>
      <c r="I21" s="17">
        <f t="shared" si="0"/>
        <v>2</v>
      </c>
      <c r="J21" s="7">
        <f t="shared" si="1"/>
        <v>270</v>
      </c>
      <c r="K21" s="8">
        <v>400</v>
      </c>
      <c r="L21" s="8">
        <v>32</v>
      </c>
      <c r="M21" s="8">
        <v>20</v>
      </c>
      <c r="N21" s="25"/>
      <c r="O21" s="8">
        <v>80</v>
      </c>
      <c r="P21" s="7">
        <f t="shared" si="3"/>
        <v>802</v>
      </c>
      <c r="Q21" s="8">
        <v>980</v>
      </c>
      <c r="R21" s="7">
        <f t="shared" si="2"/>
        <v>178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/>
      <c r="O22" s="8">
        <v>0</v>
      </c>
      <c r="P22" s="7">
        <f t="shared" si="3"/>
        <v>0</v>
      </c>
      <c r="Q22" s="8"/>
      <c r="R22" s="7"/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3128</v>
      </c>
      <c r="G26" s="10"/>
      <c r="H26" s="18">
        <f>SUM(H7:H24)</f>
        <v>1010</v>
      </c>
      <c r="I26" s="10"/>
      <c r="J26" s="12">
        <f>SUM(J7:J24)</f>
        <v>2020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 t="shared" si="4"/>
        <v>3313.2250000000004</v>
      </c>
      <c r="O26" s="20">
        <f t="shared" si="4"/>
        <v>1200</v>
      </c>
      <c r="P26" s="12">
        <f>SUM(P7:P24)</f>
        <v>10313.225</v>
      </c>
      <c r="Q26" s="12">
        <f>SUM(Q7:Q24)</f>
        <v>5686</v>
      </c>
      <c r="R26" s="12">
        <f>SUM(R7:R24)</f>
        <v>-4627.2250000000004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zoomScale="80" zoomScaleNormal="80" workbookViewId="0">
      <selection activeCell="N8" sqref="N8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46058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92</v>
      </c>
      <c r="F7" s="6">
        <v>130</v>
      </c>
      <c r="G7" s="6"/>
      <c r="H7" s="16">
        <v>40</v>
      </c>
      <c r="I7" s="17">
        <f t="shared" ref="I7:I24" si="0">$F$3</f>
        <v>2</v>
      </c>
      <c r="J7" s="7">
        <f t="shared" ref="J7:J24" si="1">IF(OR(H7="",I7=""),0,H7*I7)</f>
        <v>80</v>
      </c>
      <c r="K7" s="8">
        <v>400</v>
      </c>
      <c r="L7" s="8">
        <v>32</v>
      </c>
      <c r="M7" s="8">
        <v>20</v>
      </c>
      <c r="N7" s="25">
        <v>0</v>
      </c>
      <c r="O7" s="8">
        <v>80</v>
      </c>
      <c r="P7" s="7">
        <f>J7+N(K7)+N(L7)+N(M7)+N(O7)+N7</f>
        <v>612</v>
      </c>
      <c r="Q7" s="8">
        <v>234</v>
      </c>
      <c r="R7" s="7">
        <f t="shared" ref="R7:R24" si="2">IF(Q7="","",N(Q7)-P7)</f>
        <v>-378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72</v>
      </c>
      <c r="F8" s="6">
        <v>380</v>
      </c>
      <c r="G8" s="6"/>
      <c r="H8" s="16">
        <v>110</v>
      </c>
      <c r="I8" s="17">
        <f t="shared" si="0"/>
        <v>2</v>
      </c>
      <c r="J8" s="7">
        <f t="shared" si="1"/>
        <v>220</v>
      </c>
      <c r="K8" s="8">
        <v>400</v>
      </c>
      <c r="L8" s="8">
        <v>32</v>
      </c>
      <c r="M8" s="8">
        <v>20</v>
      </c>
      <c r="N8" s="25">
        <v>1066</v>
      </c>
      <c r="O8" s="8">
        <v>80</v>
      </c>
      <c r="P8" s="7">
        <f t="shared" ref="P8:P24" si="3">J8+N(K8)+N(L8)+N(M8)+N(O8)+N8</f>
        <v>1818</v>
      </c>
      <c r="Q8" s="8">
        <v>591</v>
      </c>
      <c r="R8" s="7">
        <f t="shared" si="2"/>
        <v>-1227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/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25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25">
        <v>0</v>
      </c>
      <c r="O10" s="8">
        <v>80</v>
      </c>
      <c r="P10" s="7">
        <f t="shared" si="3"/>
        <v>440</v>
      </c>
      <c r="Q10" s="8">
        <v>591</v>
      </c>
      <c r="R10" s="7">
        <f t="shared" si="2"/>
        <v>151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/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25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93</v>
      </c>
      <c r="F12" s="6">
        <v>520</v>
      </c>
      <c r="G12" s="6"/>
      <c r="H12" s="16">
        <v>160</v>
      </c>
      <c r="I12" s="17">
        <f t="shared" si="0"/>
        <v>2</v>
      </c>
      <c r="J12" s="7">
        <f t="shared" si="1"/>
        <v>320</v>
      </c>
      <c r="K12" s="8">
        <v>400</v>
      </c>
      <c r="L12" s="8">
        <v>20</v>
      </c>
      <c r="M12" s="8">
        <v>20</v>
      </c>
      <c r="N12" s="25">
        <v>0</v>
      </c>
      <c r="O12" s="8">
        <v>80</v>
      </c>
      <c r="P12" s="7">
        <f t="shared" si="3"/>
        <v>840</v>
      </c>
      <c r="Q12" s="8">
        <v>841</v>
      </c>
      <c r="R12" s="7">
        <f t="shared" si="2"/>
        <v>1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94</v>
      </c>
      <c r="F13" s="6">
        <v>450</v>
      </c>
      <c r="G13" s="6"/>
      <c r="H13" s="16">
        <v>140</v>
      </c>
      <c r="I13" s="17">
        <f t="shared" si="0"/>
        <v>2</v>
      </c>
      <c r="J13" s="7">
        <f t="shared" si="1"/>
        <v>280</v>
      </c>
      <c r="K13" s="8">
        <v>400</v>
      </c>
      <c r="L13" s="8">
        <v>32</v>
      </c>
      <c r="M13" s="8">
        <v>20</v>
      </c>
      <c r="N13" s="25">
        <v>0</v>
      </c>
      <c r="O13" s="8">
        <v>80</v>
      </c>
      <c r="P13" s="7">
        <f t="shared" si="3"/>
        <v>812</v>
      </c>
      <c r="Q13" s="8">
        <v>590</v>
      </c>
      <c r="R13" s="7">
        <f t="shared" si="2"/>
        <v>-222</v>
      </c>
      <c r="S13" s="4" t="s">
        <v>78</v>
      </c>
    </row>
    <row r="14" spans="1:19" x14ac:dyDescent="0.25">
      <c r="A14" s="3">
        <v>8</v>
      </c>
      <c r="B14" s="4" t="s">
        <v>44</v>
      </c>
      <c r="C14" s="4" t="s">
        <v>58</v>
      </c>
      <c r="D14" s="5" t="s">
        <v>65</v>
      </c>
      <c r="E14" s="19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25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19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25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25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25">
        <v>449.82</v>
      </c>
      <c r="O17" s="8">
        <v>80</v>
      </c>
      <c r="P17" s="7">
        <f t="shared" si="3"/>
        <v>649.81999999999994</v>
      </c>
      <c r="Q17" s="8">
        <v>0</v>
      </c>
      <c r="R17" s="7">
        <f t="shared" si="2"/>
        <v>-649.81999999999994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91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25">
        <v>0</v>
      </c>
      <c r="O18" s="8">
        <v>80</v>
      </c>
      <c r="P18" s="7">
        <f t="shared" si="3"/>
        <v>440</v>
      </c>
      <c r="Q18" s="8">
        <v>800</v>
      </c>
      <c r="R18" s="7">
        <f t="shared" si="2"/>
        <v>360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25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95</v>
      </c>
      <c r="F20" s="6">
        <v>200</v>
      </c>
      <c r="G20" s="6"/>
      <c r="H20" s="16">
        <v>60</v>
      </c>
      <c r="I20" s="17">
        <f t="shared" si="0"/>
        <v>2</v>
      </c>
      <c r="J20" s="7">
        <f t="shared" si="1"/>
        <v>120</v>
      </c>
      <c r="K20" s="8">
        <v>400</v>
      </c>
      <c r="L20" s="8">
        <v>32</v>
      </c>
      <c r="M20" s="8">
        <v>20</v>
      </c>
      <c r="N20" s="25">
        <v>0</v>
      </c>
      <c r="O20" s="8">
        <v>80</v>
      </c>
      <c r="P20" s="7">
        <f t="shared" si="3"/>
        <v>652</v>
      </c>
      <c r="Q20" s="8">
        <v>800</v>
      </c>
      <c r="R20" s="7">
        <f t="shared" si="2"/>
        <v>148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6" t="s">
        <v>96</v>
      </c>
      <c r="F21" s="6">
        <v>300</v>
      </c>
      <c r="G21" s="6"/>
      <c r="H21" s="16">
        <v>100</v>
      </c>
      <c r="I21" s="17">
        <f t="shared" si="0"/>
        <v>2</v>
      </c>
      <c r="J21" s="7">
        <f t="shared" si="1"/>
        <v>200</v>
      </c>
      <c r="K21" s="8">
        <v>400</v>
      </c>
      <c r="L21" s="8">
        <v>32</v>
      </c>
      <c r="M21" s="8">
        <v>20</v>
      </c>
      <c r="N21" s="25">
        <v>0</v>
      </c>
      <c r="O21" s="8">
        <v>80</v>
      </c>
      <c r="P21" s="7">
        <f t="shared" si="3"/>
        <v>732</v>
      </c>
      <c r="Q21" s="8">
        <v>960</v>
      </c>
      <c r="R21" s="7">
        <f t="shared" si="2"/>
        <v>228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2680</v>
      </c>
      <c r="G26" s="10"/>
      <c r="H26" s="18">
        <f>SUM(H7:H24)</f>
        <v>850</v>
      </c>
      <c r="I26" s="10"/>
      <c r="J26" s="12">
        <f>SUM(J7:J24)</f>
        <v>1700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>SUM(N7:N23)</f>
        <v>1515.82</v>
      </c>
      <c r="O26" s="20">
        <f t="shared" si="4"/>
        <v>1200</v>
      </c>
      <c r="P26" s="12">
        <f>SUM(P7:P24)</f>
        <v>8195.82</v>
      </c>
      <c r="Q26" s="12">
        <f>SUM(Q7:Q24)</f>
        <v>5407</v>
      </c>
      <c r="R26" s="12">
        <f>SUM(R7:R24)</f>
        <v>-2788.8199999999997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7"/>
  <sheetViews>
    <sheetView zoomScale="80" zoomScaleNormal="80" workbookViewId="0">
      <selection activeCell="K17" sqref="K17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46059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/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25">
        <v>0</v>
      </c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97</v>
      </c>
      <c r="F8" s="6">
        <v>460</v>
      </c>
      <c r="G8" s="6"/>
      <c r="H8" s="16">
        <v>135</v>
      </c>
      <c r="I8" s="17">
        <f t="shared" si="0"/>
        <v>2</v>
      </c>
      <c r="J8" s="7">
        <f t="shared" si="1"/>
        <v>270</v>
      </c>
      <c r="K8" s="8">
        <v>400</v>
      </c>
      <c r="L8" s="8">
        <v>32</v>
      </c>
      <c r="M8" s="8">
        <v>20</v>
      </c>
      <c r="N8" s="25">
        <v>0</v>
      </c>
      <c r="O8" s="8">
        <v>80</v>
      </c>
      <c r="P8" s="7">
        <f t="shared" ref="P8:P24" si="3">J8+N(K8)+N(L8)+N(M8)+N(O8)+N8</f>
        <v>802</v>
      </c>
      <c r="Q8" s="8">
        <v>800</v>
      </c>
      <c r="R8" s="7">
        <f t="shared" si="2"/>
        <v>-2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/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25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/>
      <c r="F10" s="6">
        <v>0</v>
      </c>
      <c r="G10" s="6"/>
      <c r="H10" s="16">
        <v>0</v>
      </c>
      <c r="I10" s="17">
        <f t="shared" si="0"/>
        <v>2</v>
      </c>
      <c r="J10" s="7">
        <f t="shared" si="1"/>
        <v>0</v>
      </c>
      <c r="K10" s="8">
        <v>80</v>
      </c>
      <c r="L10" s="8">
        <v>20</v>
      </c>
      <c r="M10" s="8">
        <v>20</v>
      </c>
      <c r="N10" s="25">
        <v>0</v>
      </c>
      <c r="O10" s="8">
        <v>80</v>
      </c>
      <c r="P10" s="7">
        <f t="shared" si="3"/>
        <v>200</v>
      </c>
      <c r="Q10" s="8">
        <v>0</v>
      </c>
      <c r="R10" s="7">
        <f t="shared" si="2"/>
        <v>-200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98</v>
      </c>
      <c r="F11" s="6">
        <v>390</v>
      </c>
      <c r="G11" s="6"/>
      <c r="H11" s="16">
        <v>150</v>
      </c>
      <c r="I11" s="17">
        <f t="shared" si="0"/>
        <v>2</v>
      </c>
      <c r="J11" s="7">
        <f t="shared" si="1"/>
        <v>300</v>
      </c>
      <c r="K11" s="8">
        <v>80</v>
      </c>
      <c r="L11" s="8">
        <v>20</v>
      </c>
      <c r="M11" s="8">
        <v>20</v>
      </c>
      <c r="N11" s="25">
        <v>0</v>
      </c>
      <c r="O11" s="8">
        <v>80</v>
      </c>
      <c r="P11" s="7">
        <f t="shared" si="3"/>
        <v>500</v>
      </c>
      <c r="Q11" s="8">
        <v>650</v>
      </c>
      <c r="R11" s="7">
        <f t="shared" si="2"/>
        <v>150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99</v>
      </c>
      <c r="F12" s="6">
        <v>440</v>
      </c>
      <c r="G12" s="6"/>
      <c r="H12" s="16">
        <v>130</v>
      </c>
      <c r="I12" s="17">
        <f t="shared" si="0"/>
        <v>2</v>
      </c>
      <c r="J12" s="7">
        <f t="shared" si="1"/>
        <v>260</v>
      </c>
      <c r="K12" s="8">
        <v>400</v>
      </c>
      <c r="L12" s="8">
        <v>20</v>
      </c>
      <c r="M12" s="8">
        <v>20</v>
      </c>
      <c r="N12" s="25">
        <v>0</v>
      </c>
      <c r="O12" s="8">
        <v>80</v>
      </c>
      <c r="P12" s="7">
        <f t="shared" si="3"/>
        <v>780</v>
      </c>
      <c r="Q12" s="8">
        <v>670</v>
      </c>
      <c r="R12" s="7">
        <f t="shared" si="2"/>
        <v>-110</v>
      </c>
      <c r="S12" s="4"/>
    </row>
    <row r="13" spans="1:19" ht="30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100</v>
      </c>
      <c r="F13" s="6">
        <v>400</v>
      </c>
      <c r="G13" s="6"/>
      <c r="H13" s="16">
        <v>125</v>
      </c>
      <c r="I13" s="17">
        <f t="shared" si="0"/>
        <v>2</v>
      </c>
      <c r="J13" s="7">
        <f t="shared" si="1"/>
        <v>250</v>
      </c>
      <c r="K13" s="8">
        <v>400</v>
      </c>
      <c r="L13" s="8">
        <v>32</v>
      </c>
      <c r="M13" s="8">
        <v>20</v>
      </c>
      <c r="N13" s="25">
        <v>0</v>
      </c>
      <c r="O13" s="8">
        <v>80</v>
      </c>
      <c r="P13" s="7">
        <f t="shared" si="3"/>
        <v>782</v>
      </c>
      <c r="Q13" s="8">
        <v>860</v>
      </c>
      <c r="R13" s="7">
        <f t="shared" si="2"/>
        <v>78</v>
      </c>
      <c r="S13" s="4"/>
    </row>
    <row r="14" spans="1:19" x14ac:dyDescent="0.25">
      <c r="A14" s="3">
        <v>8</v>
      </c>
      <c r="B14" s="4" t="s">
        <v>44</v>
      </c>
      <c r="C14" s="4" t="s">
        <v>58</v>
      </c>
      <c r="D14" s="5" t="s">
        <v>65</v>
      </c>
      <c r="E14" s="19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25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4" t="s">
        <v>101</v>
      </c>
      <c r="F15" s="6">
        <v>120</v>
      </c>
      <c r="G15" s="6"/>
      <c r="H15" s="16">
        <v>40</v>
      </c>
      <c r="I15" s="17">
        <f t="shared" si="0"/>
        <v>2</v>
      </c>
      <c r="J15" s="7">
        <f t="shared" si="1"/>
        <v>80</v>
      </c>
      <c r="K15" s="8">
        <v>80</v>
      </c>
      <c r="L15" s="8">
        <v>20</v>
      </c>
      <c r="M15" s="8">
        <v>20</v>
      </c>
      <c r="N15" s="25">
        <v>0</v>
      </c>
      <c r="O15" s="8">
        <v>80</v>
      </c>
      <c r="P15" s="7">
        <f t="shared" si="3"/>
        <v>280</v>
      </c>
      <c r="Q15" s="8">
        <v>310</v>
      </c>
      <c r="R15" s="7">
        <f t="shared" si="2"/>
        <v>30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/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25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25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102</v>
      </c>
      <c r="F18" s="6">
        <v>220</v>
      </c>
      <c r="G18" s="6"/>
      <c r="H18" s="16">
        <v>85</v>
      </c>
      <c r="I18" s="17">
        <f t="shared" si="0"/>
        <v>2</v>
      </c>
      <c r="J18" s="7">
        <f t="shared" si="1"/>
        <v>170</v>
      </c>
      <c r="K18" s="8">
        <v>80</v>
      </c>
      <c r="L18" s="8">
        <v>20</v>
      </c>
      <c r="M18" s="8">
        <v>20</v>
      </c>
      <c r="N18" s="25">
        <v>0</v>
      </c>
      <c r="O18" s="8">
        <v>80</v>
      </c>
      <c r="P18" s="7">
        <f t="shared" si="3"/>
        <v>370</v>
      </c>
      <c r="Q18" s="8">
        <v>820</v>
      </c>
      <c r="R18" s="7">
        <f t="shared" si="2"/>
        <v>450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4" t="s">
        <v>103</v>
      </c>
      <c r="F19" s="6">
        <v>100</v>
      </c>
      <c r="G19" s="6"/>
      <c r="H19" s="16">
        <v>35</v>
      </c>
      <c r="I19" s="17">
        <f t="shared" si="0"/>
        <v>2</v>
      </c>
      <c r="J19" s="7">
        <f t="shared" si="1"/>
        <v>70</v>
      </c>
      <c r="K19" s="8">
        <v>80</v>
      </c>
      <c r="L19" s="8">
        <v>20</v>
      </c>
      <c r="M19" s="8">
        <v>20</v>
      </c>
      <c r="N19" s="25">
        <v>0</v>
      </c>
      <c r="O19" s="8">
        <v>80</v>
      </c>
      <c r="P19" s="7">
        <f t="shared" si="3"/>
        <v>270</v>
      </c>
      <c r="Q19" s="8">
        <v>200</v>
      </c>
      <c r="R19" s="7">
        <f t="shared" si="2"/>
        <v>-70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104</v>
      </c>
      <c r="F20" s="6">
        <v>400</v>
      </c>
      <c r="G20" s="6"/>
      <c r="H20" s="16">
        <v>135</v>
      </c>
      <c r="I20" s="17">
        <f t="shared" si="0"/>
        <v>2</v>
      </c>
      <c r="J20" s="7">
        <f t="shared" si="1"/>
        <v>270</v>
      </c>
      <c r="K20" s="8">
        <v>400</v>
      </c>
      <c r="L20" s="8">
        <v>32</v>
      </c>
      <c r="M20" s="8">
        <v>20</v>
      </c>
      <c r="N20" s="25">
        <v>0</v>
      </c>
      <c r="O20" s="8">
        <v>80</v>
      </c>
      <c r="P20" s="7">
        <f t="shared" si="3"/>
        <v>802</v>
      </c>
      <c r="Q20" s="8">
        <v>1020</v>
      </c>
      <c r="R20" s="7">
        <f t="shared" si="2"/>
        <v>218</v>
      </c>
      <c r="S20" s="4"/>
    </row>
    <row r="21" spans="1:19" ht="30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104</v>
      </c>
      <c r="F21" s="6">
        <v>400</v>
      </c>
      <c r="G21" s="6"/>
      <c r="H21" s="16">
        <v>135</v>
      </c>
      <c r="I21" s="17">
        <f t="shared" si="0"/>
        <v>2</v>
      </c>
      <c r="J21" s="7">
        <f t="shared" si="1"/>
        <v>270</v>
      </c>
      <c r="K21" s="8">
        <v>400</v>
      </c>
      <c r="L21" s="8">
        <v>32</v>
      </c>
      <c r="M21" s="8">
        <v>20</v>
      </c>
      <c r="N21" s="25">
        <v>0</v>
      </c>
      <c r="O21" s="8">
        <v>80</v>
      </c>
      <c r="P21" s="7">
        <f t="shared" si="3"/>
        <v>802</v>
      </c>
      <c r="Q21" s="8">
        <v>1020</v>
      </c>
      <c r="R21" s="7">
        <f t="shared" si="2"/>
        <v>218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2930</v>
      </c>
      <c r="G26" s="10"/>
      <c r="H26" s="18">
        <f>SUM(H7:H24)</f>
        <v>970</v>
      </c>
      <c r="I26" s="10"/>
      <c r="J26" s="12">
        <f>SUM(J7:J24)</f>
        <v>1940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>SUM(N7:N23)</f>
        <v>0</v>
      </c>
      <c r="O26" s="20">
        <f t="shared" si="4"/>
        <v>1200</v>
      </c>
      <c r="P26" s="12">
        <f>SUM(P7:P24)</f>
        <v>6920</v>
      </c>
      <c r="Q26" s="12">
        <f>SUM(Q7:Q24)</f>
        <v>6350</v>
      </c>
      <c r="R26" s="12">
        <f>SUM(R7:R24)</f>
        <v>-570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zoomScale="80" zoomScaleNormal="80" workbookViewId="0">
      <selection activeCell="N19" sqref="N19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3" width="12" customWidth="1"/>
    <col min="14" max="14" width="13.42578125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46060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4.2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105</v>
      </c>
      <c r="F7" s="6">
        <v>340</v>
      </c>
      <c r="G7" s="6"/>
      <c r="H7" s="16">
        <v>110</v>
      </c>
      <c r="I7" s="17">
        <f t="shared" ref="I7:I24" si="0">$F$3</f>
        <v>2</v>
      </c>
      <c r="J7" s="7">
        <f t="shared" ref="J7:J24" si="1">IF(OR(H7="",I7=""),0,H7*I7)</f>
        <v>220</v>
      </c>
      <c r="K7" s="8">
        <v>400</v>
      </c>
      <c r="L7" s="8">
        <v>32</v>
      </c>
      <c r="M7" s="8">
        <v>20</v>
      </c>
      <c r="N7" s="25">
        <v>0</v>
      </c>
      <c r="O7" s="8">
        <v>80</v>
      </c>
      <c r="P7" s="7">
        <f>J7+N(K7)+N(L7)+N(M7)+N(O7)+N7</f>
        <v>752</v>
      </c>
      <c r="Q7" s="8">
        <v>553</v>
      </c>
      <c r="R7" s="7">
        <f t="shared" ref="R7:R24" si="2">IF(Q7="","",N(Q7)-P7)</f>
        <v>-199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108</v>
      </c>
      <c r="F8" s="6">
        <v>380</v>
      </c>
      <c r="G8" s="6"/>
      <c r="H8" s="16">
        <v>120</v>
      </c>
      <c r="I8" s="17">
        <f t="shared" si="0"/>
        <v>2</v>
      </c>
      <c r="J8" s="7">
        <f t="shared" si="1"/>
        <v>240</v>
      </c>
      <c r="K8" s="8">
        <v>400</v>
      </c>
      <c r="L8" s="8">
        <v>32</v>
      </c>
      <c r="M8" s="8">
        <v>20</v>
      </c>
      <c r="N8" s="25">
        <v>0</v>
      </c>
      <c r="O8" s="8">
        <v>80</v>
      </c>
      <c r="P8" s="7">
        <f t="shared" ref="P8:P24" si="3">J8+N(K8)+N(L8)+N(M8)+N(O8)+N8</f>
        <v>772</v>
      </c>
      <c r="Q8" s="8">
        <v>560</v>
      </c>
      <c r="R8" s="7">
        <f t="shared" si="2"/>
        <v>-212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26" t="s">
        <v>65</v>
      </c>
      <c r="E9" s="4" t="s">
        <v>107</v>
      </c>
      <c r="F9" s="6">
        <v>800</v>
      </c>
      <c r="G9" s="6"/>
      <c r="H9" s="16">
        <v>240</v>
      </c>
      <c r="I9" s="17">
        <f t="shared" si="0"/>
        <v>2</v>
      </c>
      <c r="J9" s="7">
        <f t="shared" si="1"/>
        <v>480</v>
      </c>
      <c r="K9" s="8">
        <v>80</v>
      </c>
      <c r="L9" s="8">
        <v>20</v>
      </c>
      <c r="M9" s="8">
        <v>20</v>
      </c>
      <c r="N9" s="25">
        <v>0</v>
      </c>
      <c r="O9" s="8">
        <v>80</v>
      </c>
      <c r="P9" s="7">
        <f t="shared" si="3"/>
        <v>680</v>
      </c>
      <c r="Q9" s="8">
        <v>500</v>
      </c>
      <c r="R9" s="7">
        <f t="shared" si="2"/>
        <v>-180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340</v>
      </c>
      <c r="G10" s="6"/>
      <c r="H10" s="16">
        <v>130</v>
      </c>
      <c r="I10" s="17">
        <f t="shared" si="0"/>
        <v>2</v>
      </c>
      <c r="J10" s="7">
        <f t="shared" si="1"/>
        <v>260</v>
      </c>
      <c r="K10" s="8">
        <v>80</v>
      </c>
      <c r="L10" s="8">
        <v>20</v>
      </c>
      <c r="M10" s="8">
        <v>20</v>
      </c>
      <c r="N10" s="25">
        <v>0</v>
      </c>
      <c r="O10" s="8">
        <v>80</v>
      </c>
      <c r="P10" s="7">
        <f t="shared" si="3"/>
        <v>460</v>
      </c>
      <c r="Q10" s="8">
        <v>591</v>
      </c>
      <c r="R10" s="7">
        <f t="shared" si="2"/>
        <v>131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115</v>
      </c>
      <c r="F11" s="6">
        <v>714</v>
      </c>
      <c r="G11" s="6"/>
      <c r="H11" s="16">
        <v>245</v>
      </c>
      <c r="I11" s="17">
        <f t="shared" si="0"/>
        <v>2</v>
      </c>
      <c r="J11" s="7">
        <f t="shared" si="1"/>
        <v>490</v>
      </c>
      <c r="K11" s="8">
        <v>80</v>
      </c>
      <c r="L11" s="8">
        <v>20</v>
      </c>
      <c r="M11" s="8">
        <v>20</v>
      </c>
      <c r="N11" s="25">
        <v>0</v>
      </c>
      <c r="O11" s="8">
        <v>80</v>
      </c>
      <c r="P11" s="7">
        <f t="shared" si="3"/>
        <v>690</v>
      </c>
      <c r="Q11" s="8">
        <v>1113</v>
      </c>
      <c r="R11" s="7">
        <f t="shared" si="2"/>
        <v>423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105</v>
      </c>
      <c r="F12" s="6">
        <v>340</v>
      </c>
      <c r="G12" s="6"/>
      <c r="H12" s="16">
        <v>110</v>
      </c>
      <c r="I12" s="17">
        <f t="shared" si="0"/>
        <v>2</v>
      </c>
      <c r="J12" s="7">
        <f t="shared" si="1"/>
        <v>220</v>
      </c>
      <c r="K12" s="8">
        <v>400</v>
      </c>
      <c r="L12" s="8">
        <v>20</v>
      </c>
      <c r="M12" s="8">
        <v>20</v>
      </c>
      <c r="N12" s="25">
        <v>0</v>
      </c>
      <c r="O12" s="8">
        <v>80</v>
      </c>
      <c r="P12" s="7">
        <f t="shared" si="3"/>
        <v>740</v>
      </c>
      <c r="Q12" s="8">
        <v>650</v>
      </c>
      <c r="R12" s="7">
        <f t="shared" si="2"/>
        <v>-90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110</v>
      </c>
      <c r="F13" s="6">
        <v>400</v>
      </c>
      <c r="G13" s="6"/>
      <c r="H13" s="16">
        <v>130</v>
      </c>
      <c r="I13" s="17">
        <f t="shared" si="0"/>
        <v>2</v>
      </c>
      <c r="J13" s="7">
        <f t="shared" si="1"/>
        <v>260</v>
      </c>
      <c r="K13" s="8">
        <v>400</v>
      </c>
      <c r="L13" s="8">
        <v>32</v>
      </c>
      <c r="M13" s="8">
        <v>20</v>
      </c>
      <c r="N13" s="25">
        <v>1545.11</v>
      </c>
      <c r="O13" s="8">
        <v>80</v>
      </c>
      <c r="P13" s="7">
        <f t="shared" si="3"/>
        <v>2337.1099999999997</v>
      </c>
      <c r="Q13" s="8">
        <v>650</v>
      </c>
      <c r="R13" s="7">
        <f t="shared" si="2"/>
        <v>-1687.1099999999997</v>
      </c>
      <c r="S13" s="4"/>
    </row>
    <row r="14" spans="1:19" x14ac:dyDescent="0.25">
      <c r="A14" s="3">
        <v>8</v>
      </c>
      <c r="B14" s="4" t="s">
        <v>114</v>
      </c>
      <c r="C14" s="4" t="s">
        <v>58</v>
      </c>
      <c r="D14" s="5" t="s">
        <v>65</v>
      </c>
      <c r="E14" s="24" t="s">
        <v>106</v>
      </c>
      <c r="F14" s="6">
        <v>100</v>
      </c>
      <c r="G14" s="6"/>
      <c r="H14" s="16">
        <v>33</v>
      </c>
      <c r="I14" s="17">
        <f t="shared" si="0"/>
        <v>2</v>
      </c>
      <c r="J14" s="7">
        <f t="shared" si="1"/>
        <v>66</v>
      </c>
      <c r="K14" s="8">
        <v>80</v>
      </c>
      <c r="L14" s="8">
        <v>20</v>
      </c>
      <c r="M14" s="8">
        <v>20</v>
      </c>
      <c r="N14" s="25">
        <v>0</v>
      </c>
      <c r="O14" s="8">
        <v>80</v>
      </c>
      <c r="P14" s="7">
        <f t="shared" si="3"/>
        <v>266</v>
      </c>
      <c r="Q14" s="8">
        <v>234</v>
      </c>
      <c r="R14" s="7">
        <f t="shared" si="2"/>
        <v>-32</v>
      </c>
      <c r="S14" s="4"/>
    </row>
    <row r="15" spans="1:19" x14ac:dyDescent="0.25">
      <c r="A15" s="3">
        <v>9</v>
      </c>
      <c r="B15" s="4" t="s">
        <v>113</v>
      </c>
      <c r="C15" s="4"/>
      <c r="D15" s="5" t="s">
        <v>65</v>
      </c>
      <c r="E15" s="19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25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25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27" t="s">
        <v>109</v>
      </c>
      <c r="F17" s="6">
        <v>110</v>
      </c>
      <c r="G17" s="6"/>
      <c r="H17" s="16">
        <v>35</v>
      </c>
      <c r="I17" s="17">
        <f t="shared" si="0"/>
        <v>2</v>
      </c>
      <c r="J17" s="7">
        <f t="shared" si="1"/>
        <v>70</v>
      </c>
      <c r="K17" s="8">
        <v>80</v>
      </c>
      <c r="L17" s="8">
        <v>20</v>
      </c>
      <c r="M17" s="8">
        <v>20</v>
      </c>
      <c r="N17" s="25">
        <v>0</v>
      </c>
      <c r="O17" s="8">
        <v>80</v>
      </c>
      <c r="P17" s="7">
        <f t="shared" si="3"/>
        <v>270</v>
      </c>
      <c r="Q17" s="8">
        <v>226</v>
      </c>
      <c r="R17" s="7">
        <f t="shared" si="2"/>
        <v>-44</v>
      </c>
      <c r="S17" s="4"/>
    </row>
    <row r="18" spans="1:19" ht="45" x14ac:dyDescent="0.25">
      <c r="A18" s="3">
        <v>12</v>
      </c>
      <c r="B18" s="4" t="s">
        <v>47</v>
      </c>
      <c r="C18" s="4" t="s">
        <v>61</v>
      </c>
      <c r="D18" s="5" t="s">
        <v>66</v>
      </c>
      <c r="E18" s="28" t="s">
        <v>111</v>
      </c>
      <c r="F18" s="6">
        <v>200</v>
      </c>
      <c r="G18" s="6"/>
      <c r="H18" s="16">
        <v>80</v>
      </c>
      <c r="I18" s="17">
        <f t="shared" si="0"/>
        <v>2</v>
      </c>
      <c r="J18" s="7">
        <f t="shared" si="1"/>
        <v>160</v>
      </c>
      <c r="K18" s="8">
        <v>80</v>
      </c>
      <c r="L18" s="8">
        <v>20</v>
      </c>
      <c r="M18" s="8">
        <v>20</v>
      </c>
      <c r="N18" s="25">
        <v>0</v>
      </c>
      <c r="O18" s="8">
        <v>80</v>
      </c>
      <c r="P18" s="7">
        <f t="shared" si="3"/>
        <v>360</v>
      </c>
      <c r="Q18" s="8">
        <v>800</v>
      </c>
      <c r="R18" s="7">
        <f t="shared" si="2"/>
        <v>440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25">
        <v>594</v>
      </c>
      <c r="O19" s="8">
        <v>80</v>
      </c>
      <c r="P19" s="7">
        <f t="shared" si="3"/>
        <v>794</v>
      </c>
      <c r="Q19" s="8">
        <v>0</v>
      </c>
      <c r="R19" s="7">
        <f t="shared" si="2"/>
        <v>-794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28" t="s">
        <v>112</v>
      </c>
      <c r="F20" s="6">
        <v>480</v>
      </c>
      <c r="G20" s="6"/>
      <c r="H20" s="16">
        <v>150</v>
      </c>
      <c r="I20" s="17">
        <f t="shared" si="0"/>
        <v>2</v>
      </c>
      <c r="J20" s="7">
        <f t="shared" si="1"/>
        <v>300</v>
      </c>
      <c r="K20" s="8">
        <v>400</v>
      </c>
      <c r="L20" s="8">
        <v>32</v>
      </c>
      <c r="M20" s="8">
        <v>20</v>
      </c>
      <c r="N20" s="25">
        <v>0</v>
      </c>
      <c r="O20" s="8">
        <v>80</v>
      </c>
      <c r="P20" s="7">
        <f t="shared" si="3"/>
        <v>832</v>
      </c>
      <c r="Q20" s="8">
        <v>1095</v>
      </c>
      <c r="R20" s="7">
        <f t="shared" si="2"/>
        <v>263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112</v>
      </c>
      <c r="F21" s="6">
        <v>480</v>
      </c>
      <c r="G21" s="6"/>
      <c r="H21" s="16">
        <v>150</v>
      </c>
      <c r="I21" s="17">
        <f t="shared" si="0"/>
        <v>2</v>
      </c>
      <c r="J21" s="7">
        <f t="shared" si="1"/>
        <v>300</v>
      </c>
      <c r="K21" s="8">
        <v>400</v>
      </c>
      <c r="L21" s="8">
        <v>32</v>
      </c>
      <c r="M21" s="8">
        <v>20</v>
      </c>
      <c r="N21" s="25">
        <v>0</v>
      </c>
      <c r="O21" s="8">
        <v>80</v>
      </c>
      <c r="P21" s="7">
        <f t="shared" si="3"/>
        <v>832</v>
      </c>
      <c r="Q21" s="8">
        <v>1090</v>
      </c>
      <c r="R21" s="7">
        <f t="shared" si="2"/>
        <v>258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25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25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25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4684</v>
      </c>
      <c r="G26" s="10"/>
      <c r="H26" s="18">
        <f>SUM(H7:H24)</f>
        <v>1533</v>
      </c>
      <c r="I26" s="10"/>
      <c r="J26" s="12">
        <f>SUM(J7:J24)</f>
        <v>3066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>SUM(N7:N23)</f>
        <v>2139.1099999999997</v>
      </c>
      <c r="O26" s="20">
        <f t="shared" si="4"/>
        <v>1200</v>
      </c>
      <c r="P26" s="12">
        <f>SUM(P7:P24)</f>
        <v>10185.11</v>
      </c>
      <c r="Q26" s="12">
        <f>SUM(Q7:Q24)</f>
        <v>8062</v>
      </c>
      <c r="R26" s="12">
        <f>SUM(R7:R24)</f>
        <v>-2123.1099999999997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A5A9-AAC8-42A7-A294-5D87BBAD1379}">
  <dimension ref="A1:S27"/>
  <sheetViews>
    <sheetView tabSelected="1" zoomScale="80" zoomScaleNormal="80" workbookViewId="0">
      <selection activeCell="A21" sqref="A21:XFD21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8.8554687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46062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116</v>
      </c>
      <c r="F7" s="6">
        <v>10</v>
      </c>
      <c r="G7" s="6"/>
      <c r="H7" s="16">
        <v>5</v>
      </c>
      <c r="I7" s="17">
        <v>2</v>
      </c>
      <c r="J7" s="7">
        <f t="shared" ref="J7:J24" si="0">IF(OR(H7="",I7=""),0,H7*I7)</f>
        <v>10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542</v>
      </c>
      <c r="Q7" s="8">
        <v>150</v>
      </c>
      <c r="R7" s="7">
        <f t="shared" ref="R7:R24" si="1">IF(Q7="","",N(Q7)-P7)</f>
        <v>-392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117</v>
      </c>
      <c r="F8" s="6">
        <v>250</v>
      </c>
      <c r="G8" s="6"/>
      <c r="H8" s="16">
        <v>100</v>
      </c>
      <c r="I8" s="17">
        <v>2</v>
      </c>
      <c r="J8" s="7">
        <f t="shared" si="0"/>
        <v>200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2">J8+N(K8)+N(L8)+N(M8)+N(O8)+N8</f>
        <v>732</v>
      </c>
      <c r="Q8" s="8">
        <v>950</v>
      </c>
      <c r="R8" s="7">
        <f t="shared" si="1"/>
        <v>218</v>
      </c>
      <c r="S8" s="4" t="s">
        <v>118</v>
      </c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19"/>
      <c r="F9" s="6">
        <v>0</v>
      </c>
      <c r="G9" s="6"/>
      <c r="H9" s="16">
        <v>0</v>
      </c>
      <c r="I9" s="17">
        <f t="shared" ref="I7:I24" si="3">$F$3</f>
        <v>2</v>
      </c>
      <c r="J9" s="7">
        <f t="shared" si="0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2"/>
        <v>200</v>
      </c>
      <c r="Q9" s="8">
        <v>0</v>
      </c>
      <c r="R9" s="7">
        <f t="shared" si="1"/>
        <v>-200</v>
      </c>
      <c r="S9" s="4" t="s">
        <v>119</v>
      </c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116</v>
      </c>
      <c r="F10" s="6">
        <v>10</v>
      </c>
      <c r="G10" s="6"/>
      <c r="H10" s="16">
        <v>5</v>
      </c>
      <c r="I10" s="17">
        <f t="shared" si="3"/>
        <v>2</v>
      </c>
      <c r="J10" s="7">
        <f t="shared" si="0"/>
        <v>10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2"/>
        <v>210</v>
      </c>
      <c r="Q10" s="8">
        <v>150</v>
      </c>
      <c r="R10" s="7">
        <f t="shared" si="1"/>
        <v>-60</v>
      </c>
      <c r="S10" s="4"/>
    </row>
    <row r="11" spans="1:19" ht="30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120</v>
      </c>
      <c r="F11" s="6">
        <v>480</v>
      </c>
      <c r="G11" s="6"/>
      <c r="H11" s="16">
        <v>200</v>
      </c>
      <c r="I11" s="17">
        <f t="shared" si="3"/>
        <v>2</v>
      </c>
      <c r="J11" s="7">
        <f t="shared" si="0"/>
        <v>400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2"/>
        <v>600</v>
      </c>
      <c r="Q11" s="8">
        <v>870</v>
      </c>
      <c r="R11" s="7">
        <f t="shared" si="1"/>
        <v>270</v>
      </c>
      <c r="S11" s="4" t="s">
        <v>121</v>
      </c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72</v>
      </c>
      <c r="F12" s="6">
        <v>350</v>
      </c>
      <c r="G12" s="6"/>
      <c r="H12" s="16">
        <v>110</v>
      </c>
      <c r="I12" s="17">
        <f t="shared" si="3"/>
        <v>2</v>
      </c>
      <c r="J12" s="7">
        <f t="shared" si="0"/>
        <v>220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2"/>
        <v>740</v>
      </c>
      <c r="Q12" s="8">
        <v>591</v>
      </c>
      <c r="R12" s="7">
        <f t="shared" si="1"/>
        <v>-149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72</v>
      </c>
      <c r="F13" s="6">
        <v>350</v>
      </c>
      <c r="G13" s="6"/>
      <c r="H13" s="16">
        <v>110</v>
      </c>
      <c r="I13" s="17">
        <f t="shared" si="3"/>
        <v>2</v>
      </c>
      <c r="J13" s="7">
        <f t="shared" si="0"/>
        <v>220</v>
      </c>
      <c r="K13" s="8">
        <v>400</v>
      </c>
      <c r="L13" s="8">
        <v>32</v>
      </c>
      <c r="M13" s="8">
        <v>20</v>
      </c>
      <c r="N13" s="8">
        <v>0</v>
      </c>
      <c r="O13" s="8">
        <v>80</v>
      </c>
      <c r="P13" s="7">
        <f t="shared" si="2"/>
        <v>752</v>
      </c>
      <c r="Q13" s="8">
        <v>591</v>
      </c>
      <c r="R13" s="7">
        <f t="shared" si="1"/>
        <v>-161</v>
      </c>
      <c r="S13" s="4"/>
    </row>
    <row r="14" spans="1:19" x14ac:dyDescent="0.25">
      <c r="A14" s="3">
        <v>8</v>
      </c>
      <c r="B14" s="39" t="s">
        <v>44</v>
      </c>
      <c r="C14" s="4" t="s">
        <v>58</v>
      </c>
      <c r="D14" s="5" t="s">
        <v>65</v>
      </c>
      <c r="E14" s="24" t="s">
        <v>75</v>
      </c>
      <c r="F14" s="6">
        <v>80</v>
      </c>
      <c r="G14" s="6"/>
      <c r="H14" s="16">
        <v>30</v>
      </c>
      <c r="I14" s="17">
        <f t="shared" si="3"/>
        <v>2</v>
      </c>
      <c r="J14" s="7">
        <f t="shared" si="0"/>
        <v>60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2"/>
        <v>260</v>
      </c>
      <c r="Q14" s="8">
        <v>200</v>
      </c>
      <c r="R14" s="7">
        <f t="shared" si="1"/>
        <v>-60</v>
      </c>
      <c r="S14" s="4" t="s">
        <v>122</v>
      </c>
    </row>
    <row r="15" spans="1:19" x14ac:dyDescent="0.25">
      <c r="A15" s="3">
        <v>9</v>
      </c>
      <c r="B15" s="4" t="s">
        <v>43</v>
      </c>
      <c r="C15" s="4"/>
      <c r="D15" s="5" t="s">
        <v>65</v>
      </c>
      <c r="E15" s="19"/>
      <c r="F15" s="6">
        <v>0</v>
      </c>
      <c r="G15" s="6"/>
      <c r="H15" s="16">
        <v>0</v>
      </c>
      <c r="I15" s="17">
        <f t="shared" si="3"/>
        <v>2</v>
      </c>
      <c r="J15" s="7">
        <f t="shared" si="0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2"/>
        <v>200</v>
      </c>
      <c r="Q15" s="8">
        <v>0</v>
      </c>
      <c r="R15" s="7">
        <f t="shared" si="1"/>
        <v>-200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19"/>
      <c r="F16" s="6">
        <v>0</v>
      </c>
      <c r="G16" s="6"/>
      <c r="H16" s="16">
        <v>0</v>
      </c>
      <c r="I16" s="17">
        <f t="shared" si="3"/>
        <v>2</v>
      </c>
      <c r="J16" s="7">
        <f t="shared" si="0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2"/>
        <v>200</v>
      </c>
      <c r="Q16" s="8">
        <v>0</v>
      </c>
      <c r="R16" s="7">
        <f t="shared" si="1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24" t="s">
        <v>123</v>
      </c>
      <c r="F17" s="6">
        <v>280</v>
      </c>
      <c r="G17" s="6"/>
      <c r="H17" s="16">
        <v>90</v>
      </c>
      <c r="I17" s="17">
        <f t="shared" si="3"/>
        <v>2</v>
      </c>
      <c r="J17" s="7">
        <f t="shared" si="0"/>
        <v>180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2"/>
        <v>380</v>
      </c>
      <c r="Q17" s="8">
        <v>560</v>
      </c>
      <c r="R17" s="7">
        <f t="shared" si="1"/>
        <v>180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91</v>
      </c>
      <c r="F18" s="6">
        <v>220</v>
      </c>
      <c r="G18" s="6"/>
      <c r="H18" s="16">
        <v>70</v>
      </c>
      <c r="I18" s="17">
        <f t="shared" si="3"/>
        <v>2</v>
      </c>
      <c r="J18" s="7">
        <f t="shared" si="0"/>
        <v>140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2"/>
        <v>340</v>
      </c>
      <c r="Q18" s="8">
        <v>820</v>
      </c>
      <c r="R18" s="7">
        <f t="shared" si="1"/>
        <v>480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 t="s">
        <v>124</v>
      </c>
      <c r="F19" s="6">
        <v>200</v>
      </c>
      <c r="G19" s="6"/>
      <c r="H19" s="16">
        <v>68</v>
      </c>
      <c r="I19" s="17">
        <f t="shared" si="3"/>
        <v>2</v>
      </c>
      <c r="J19" s="7">
        <f t="shared" si="0"/>
        <v>136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2"/>
        <v>336</v>
      </c>
      <c r="Q19" s="8">
        <v>500</v>
      </c>
      <c r="R19" s="7">
        <f t="shared" si="1"/>
        <v>164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125</v>
      </c>
      <c r="F20" s="6">
        <v>320</v>
      </c>
      <c r="G20" s="6"/>
      <c r="H20" s="16">
        <v>110</v>
      </c>
      <c r="I20" s="17">
        <f t="shared" si="3"/>
        <v>2</v>
      </c>
      <c r="J20" s="7">
        <f t="shared" si="0"/>
        <v>220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2"/>
        <v>752</v>
      </c>
      <c r="Q20" s="8">
        <v>978</v>
      </c>
      <c r="R20" s="7">
        <f t="shared" si="1"/>
        <v>226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125</v>
      </c>
      <c r="F21" s="6">
        <v>320</v>
      </c>
      <c r="G21" s="6"/>
      <c r="H21" s="16">
        <v>110</v>
      </c>
      <c r="I21" s="17">
        <f t="shared" si="3"/>
        <v>2</v>
      </c>
      <c r="J21" s="7">
        <f t="shared" si="0"/>
        <v>220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2"/>
        <v>752</v>
      </c>
      <c r="Q21" s="8">
        <v>978</v>
      </c>
      <c r="R21" s="7">
        <f t="shared" si="1"/>
        <v>226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3"/>
        <v>2</v>
      </c>
      <c r="J22" s="7">
        <f t="shared" si="0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2"/>
        <v>0</v>
      </c>
      <c r="Q22" s="8">
        <v>0</v>
      </c>
      <c r="R22" s="7">
        <f t="shared" si="1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3"/>
        <v>2</v>
      </c>
      <c r="J23" s="7">
        <f t="shared" si="0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2"/>
        <v>0</v>
      </c>
      <c r="Q23" s="8">
        <v>0</v>
      </c>
      <c r="R23" s="7">
        <f t="shared" si="1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3"/>
        <v>2</v>
      </c>
      <c r="J24" s="7">
        <f t="shared" si="0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2"/>
        <v>0</v>
      </c>
      <c r="Q24" s="8"/>
      <c r="R24" s="7" t="str">
        <f t="shared" si="1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2870</v>
      </c>
      <c r="G26" s="10"/>
      <c r="H26" s="18">
        <f>SUM(H7:H24)</f>
        <v>1008</v>
      </c>
      <c r="I26" s="10"/>
      <c r="J26" s="12">
        <f>SUM(J7:J24)</f>
        <v>2016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>SUM(N7:N23)</f>
        <v>0</v>
      </c>
      <c r="O26" s="20">
        <f t="shared" si="4"/>
        <v>1200</v>
      </c>
      <c r="P26" s="12">
        <f>SUM(P7:P24)</f>
        <v>6996</v>
      </c>
      <c r="Q26" s="12">
        <f>SUM(Q7:Q24)</f>
        <v>7338</v>
      </c>
      <c r="R26" s="12">
        <f>SUM(R7:R24)</f>
        <v>342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zoomScale="80" zoomScaleNormal="80" workbookViewId="0">
      <selection activeCell="I29" sqref="I29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46058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0</v>
      </c>
      <c r="G8" s="6"/>
      <c r="H8" s="16">
        <v>0</v>
      </c>
      <c r="I8" s="17">
        <f t="shared" si="0"/>
        <v>2</v>
      </c>
      <c r="J8" s="7">
        <f t="shared" si="1"/>
        <v>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532</v>
      </c>
      <c r="Q8" s="8">
        <v>0</v>
      </c>
      <c r="R8" s="7">
        <f t="shared" si="2"/>
        <v>-532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0</v>
      </c>
      <c r="G10" s="6"/>
      <c r="H10" s="16">
        <v>0</v>
      </c>
      <c r="I10" s="17">
        <f t="shared" si="0"/>
        <v>2</v>
      </c>
      <c r="J10" s="7">
        <f t="shared" si="1"/>
        <v>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3"/>
        <v>200</v>
      </c>
      <c r="Q10" s="8">
        <v>0</v>
      </c>
      <c r="R10" s="7">
        <f t="shared" si="2"/>
        <v>-200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0</v>
      </c>
      <c r="G12" s="6"/>
      <c r="H12" s="16">
        <v>0</v>
      </c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0</v>
      </c>
      <c r="G13" s="6"/>
      <c r="H13" s="16">
        <v>0</v>
      </c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8">
        <v>0</v>
      </c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25">
      <c r="A14" s="3">
        <v>8</v>
      </c>
      <c r="B14" s="39" t="s">
        <v>44</v>
      </c>
      <c r="C14" s="4" t="s">
        <v>58</v>
      </c>
      <c r="D14" s="5" t="s">
        <v>65</v>
      </c>
      <c r="E14" s="19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25">
      <c r="A15" s="3">
        <v>9</v>
      </c>
      <c r="B15" s="4" t="s">
        <v>43</v>
      </c>
      <c r="C15" s="4"/>
      <c r="D15" s="5" t="s">
        <v>65</v>
      </c>
      <c r="E15" s="19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0</v>
      </c>
      <c r="G18" s="6"/>
      <c r="H18" s="16">
        <v>0</v>
      </c>
      <c r="I18" s="17">
        <f t="shared" si="0"/>
        <v>2</v>
      </c>
      <c r="J18" s="7">
        <f t="shared" si="1"/>
        <v>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3"/>
        <v>200</v>
      </c>
      <c r="Q18" s="8">
        <v>0</v>
      </c>
      <c r="R18" s="7">
        <f t="shared" si="2"/>
        <v>-200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0</v>
      </c>
      <c r="G20" s="6"/>
      <c r="H20" s="16">
        <v>0</v>
      </c>
      <c r="I20" s="17">
        <f t="shared" si="0"/>
        <v>2</v>
      </c>
      <c r="J20" s="7">
        <f t="shared" si="1"/>
        <v>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3"/>
        <v>532</v>
      </c>
      <c r="Q20" s="8">
        <v>0</v>
      </c>
      <c r="R20" s="7">
        <f t="shared" si="2"/>
        <v>-532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0</v>
      </c>
      <c r="G21" s="6"/>
      <c r="H21" s="16">
        <v>0</v>
      </c>
      <c r="I21" s="17">
        <f t="shared" si="0"/>
        <v>2</v>
      </c>
      <c r="J21" s="7">
        <f t="shared" si="1"/>
        <v>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3"/>
        <v>532</v>
      </c>
      <c r="Q21" s="8">
        <v>0</v>
      </c>
      <c r="R21" s="7">
        <f t="shared" si="2"/>
        <v>-532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0</v>
      </c>
      <c r="G26" s="10"/>
      <c r="H26" s="18">
        <f>SUM(H7:H24)</f>
        <v>0</v>
      </c>
      <c r="I26" s="10"/>
      <c r="J26" s="12">
        <f>SUM(J7:J24)</f>
        <v>0</v>
      </c>
      <c r="K26" s="20">
        <f>SUM(K7:K21)</f>
        <v>3120</v>
      </c>
      <c r="L26" s="20">
        <f>SUM(L7:L21)</f>
        <v>360</v>
      </c>
      <c r="M26" s="20">
        <f t="shared" ref="M26:O26" si="4">SUM(M7:M21)</f>
        <v>300</v>
      </c>
      <c r="N26" s="20">
        <f>SUM(N7:N23)</f>
        <v>0</v>
      </c>
      <c r="O26" s="20">
        <f t="shared" si="4"/>
        <v>1200</v>
      </c>
      <c r="P26" s="12">
        <f>SUM(P7:P24)</f>
        <v>4980</v>
      </c>
      <c r="Q26" s="12">
        <f>SUM(Q7:Q24)</f>
        <v>0</v>
      </c>
      <c r="R26" s="12">
        <f>SUM(R7:R24)</f>
        <v>-4980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7"/>
  <sheetViews>
    <sheetView zoomScale="80" zoomScaleNormal="80" workbookViewId="0">
      <selection activeCell="D32" sqref="D32"/>
    </sheetView>
  </sheetViews>
  <sheetFormatPr baseColWidth="10" defaultColWidth="8.85546875" defaultRowHeight="15" x14ac:dyDescent="0.25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40625" customWidth="1"/>
    <col min="11" max="11" width="13.710937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x14ac:dyDescent="0.25">
      <c r="B2" t="s">
        <v>69</v>
      </c>
    </row>
    <row r="3" spans="1:19" ht="14.45" customHeight="1" x14ac:dyDescent="0.25">
      <c r="A3" s="36" t="s">
        <v>1</v>
      </c>
      <c r="B3" s="34"/>
      <c r="C3" s="14">
        <v>46054</v>
      </c>
      <c r="D3" s="35" t="s">
        <v>2</v>
      </c>
      <c r="E3" s="34"/>
      <c r="F3" s="15">
        <v>2</v>
      </c>
      <c r="G3" s="36" t="s">
        <v>3</v>
      </c>
      <c r="H3" s="34"/>
      <c r="I3" s="1" t="s">
        <v>4</v>
      </c>
    </row>
    <row r="4" spans="1:19" ht="14.45" customHeight="1" x14ac:dyDescent="0.25">
      <c r="A4" s="37" t="s">
        <v>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9" customHeight="1" x14ac:dyDescent="0.25"/>
    <row r="6" spans="1:19" ht="40.9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25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f>'02-02-26'!F7+'03-02-26'!F7+'04-02-26'!F7+'05-02-26'!F7+'06-02-26'!F7</f>
        <v>1344</v>
      </c>
      <c r="G7" s="6"/>
      <c r="H7" s="16">
        <f>'02-02-26'!H7+'03-02-26'!H7+'04-02-26'!H7+'05-02-26'!H7+'06-02-26'!H7</f>
        <v>405</v>
      </c>
      <c r="I7" s="17">
        <f t="shared" ref="I7:I24" si="0">$F$3</f>
        <v>2</v>
      </c>
      <c r="J7" s="7">
        <f t="shared" ref="J7:J24" si="1">IF(OR(H7="",I7=""),0,H7*I7)</f>
        <v>810</v>
      </c>
      <c r="K7" s="8">
        <f>'02-02-26'!K7+'03-02-26'!K7+'04-02-26'!K7+'05-02-26'!K7+'06-02-26'!K7</f>
        <v>2000</v>
      </c>
      <c r="L7" s="8">
        <f>'02-02-26'!L7+'03-02-26'!L7+'04-02-26'!L7+'05-02-26'!L7+'06-02-26'!L7</f>
        <v>160</v>
      </c>
      <c r="M7" s="8">
        <f>'02-02-26'!M7+'03-02-26'!M7+'04-02-26'!L7+'05-02-26'!M7+'06-02-26'!M7</f>
        <v>112</v>
      </c>
      <c r="N7" s="8">
        <f>'02-02-26'!N7+'03-02-26'!N7+'04-02-26'!N7+'05-02-26'!N7+'06-02-26'!N7</f>
        <v>0</v>
      </c>
      <c r="O7" s="8">
        <f>'02-02-26'!O7+'03-02-26'!O7+'04-02-26'!O7+'05-02-26'!O7+'06-02-26'!O7</f>
        <v>400</v>
      </c>
      <c r="P7" s="7">
        <f>J7+N(K7)+N(L7)+N(M7)+N(O7)+N7</f>
        <v>3482</v>
      </c>
      <c r="Q7" s="8">
        <f>'02-02-26'!Q7+'03-02-26'!Q7+'04-02-26'!Q7+'05-02-26'!Q7+'06-02-26'!Q7</f>
        <v>1258</v>
      </c>
      <c r="R7" s="7">
        <f t="shared" ref="R7:R24" si="2">IF(Q7="","",N(Q7)-P7)</f>
        <v>-2224</v>
      </c>
      <c r="S7" s="4"/>
    </row>
    <row r="8" spans="1:19" ht="30" x14ac:dyDescent="0.25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f>'02-02-26'!F8+'03-02-26'!F8+'04-02-26'!F8+'05-02-26'!F8+'06-02-26'!F8</f>
        <v>2354</v>
      </c>
      <c r="G8" s="6"/>
      <c r="H8" s="16">
        <f>'02-02-26'!H8+'03-02-26'!H8+'04-02-26'!H8+'05-02-26'!H8+'06-02-26'!H8</f>
        <v>700</v>
      </c>
      <c r="I8" s="17">
        <f t="shared" si="0"/>
        <v>2</v>
      </c>
      <c r="J8" s="7">
        <f t="shared" si="1"/>
        <v>1400</v>
      </c>
      <c r="K8" s="8">
        <f>'02-02-26'!K8+'03-02-26'!K8+'04-02-26'!K8+'05-02-26'!K8+'06-02-26'!K8</f>
        <v>2000</v>
      </c>
      <c r="L8" s="8">
        <f>'02-02-26'!L8+'03-02-26'!L8+'04-02-26'!L8+'05-02-26'!L8+'06-02-26'!L8</f>
        <v>160</v>
      </c>
      <c r="M8" s="8">
        <f>'02-02-26'!M8+'03-02-26'!M8+'04-02-26'!L8+'05-02-26'!M8+'06-02-26'!M8</f>
        <v>112</v>
      </c>
      <c r="N8" s="8">
        <f>'02-02-26'!N8+'03-02-26'!N8+'04-02-26'!N8+'05-02-26'!N8+'06-02-26'!N8</f>
        <v>2136</v>
      </c>
      <c r="O8" s="8">
        <f>'02-02-26'!O8+'03-02-26'!O8+'04-02-26'!O8+'05-02-26'!O8+'06-02-26'!O8</f>
        <v>400</v>
      </c>
      <c r="P8" s="7">
        <f t="shared" ref="P8:P24" si="3">J8+N(K8)+N(L8)+N(M8)+N(O8)+N8</f>
        <v>6208</v>
      </c>
      <c r="Q8" s="8">
        <f>'02-02-26'!Q8+'03-02-26'!Q8+'04-02-26'!Q8+'05-02-26'!Q8+'06-02-26'!Q8</f>
        <v>3015</v>
      </c>
      <c r="R8" s="7">
        <f t="shared" si="2"/>
        <v>-3193</v>
      </c>
      <c r="S8" s="4"/>
    </row>
    <row r="9" spans="1:19" x14ac:dyDescent="0.25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f>'02-02-26'!F9+'03-02-26'!F9+'04-02-26'!F9+'05-02-26'!F9+'06-02-26'!F9</f>
        <v>794</v>
      </c>
      <c r="G9" s="6"/>
      <c r="H9" s="16">
        <f>'02-02-26'!H9+'03-02-26'!H9+'04-02-26'!H9+'05-02-26'!H9+'06-02-26'!H9</f>
        <v>295</v>
      </c>
      <c r="I9" s="17">
        <f t="shared" si="0"/>
        <v>2</v>
      </c>
      <c r="J9" s="7">
        <f t="shared" si="1"/>
        <v>590</v>
      </c>
      <c r="K9" s="8">
        <f>'02-02-26'!K9+'03-02-26'!K9+'04-02-26'!K9+'05-02-26'!K9+'06-02-26'!K9</f>
        <v>400</v>
      </c>
      <c r="L9" s="8">
        <f>'02-02-26'!L9+'03-02-26'!L9+'04-02-26'!L9+'05-02-26'!L9+'06-02-26'!L9</f>
        <v>100</v>
      </c>
      <c r="M9" s="8">
        <f>'02-02-26'!M9+'03-02-26'!M9+'04-02-26'!L9+'05-02-26'!M9+'06-02-26'!M9</f>
        <v>100</v>
      </c>
      <c r="N9" s="8">
        <f>'02-02-26'!N9+'03-02-26'!N9+'04-02-26'!N9+'05-02-26'!N9+'06-02-26'!N9</f>
        <v>0</v>
      </c>
      <c r="O9" s="8">
        <f>'02-02-26'!O9+'03-02-26'!O9+'04-02-26'!O9+'05-02-26'!O9+'06-02-26'!O9</f>
        <v>400</v>
      </c>
      <c r="P9" s="7">
        <f t="shared" si="3"/>
        <v>1590</v>
      </c>
      <c r="Q9" s="8">
        <f>'02-02-26'!Q9+'03-02-26'!Q9+'04-02-26'!Q9+'05-02-26'!Q9+'06-02-26'!Q9</f>
        <v>1301</v>
      </c>
      <c r="R9" s="7">
        <f t="shared" si="2"/>
        <v>-289</v>
      </c>
      <c r="S9" s="4"/>
    </row>
    <row r="10" spans="1:19" x14ac:dyDescent="0.25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f>'02-02-26'!F10+'03-02-26'!F10+'04-02-26'!F10+'05-02-26'!F10+'06-02-26'!F10</f>
        <v>1480</v>
      </c>
      <c r="G10" s="6"/>
      <c r="H10" s="16">
        <f>'02-02-26'!H10+'03-02-26'!H10+'04-02-26'!H10+'05-02-26'!H10+'06-02-26'!H10</f>
        <v>480</v>
      </c>
      <c r="I10" s="17">
        <f t="shared" si="0"/>
        <v>2</v>
      </c>
      <c r="J10" s="7">
        <f t="shared" si="1"/>
        <v>960</v>
      </c>
      <c r="K10" s="8">
        <f>'02-02-26'!K10+'03-02-26'!K10+'04-02-26'!K10+'05-02-26'!K10+'06-02-26'!K10</f>
        <v>400</v>
      </c>
      <c r="L10" s="8">
        <f>'02-02-26'!L10+'03-02-26'!L10+'04-02-26'!L10+'05-02-26'!L10+'06-02-26'!L10</f>
        <v>100</v>
      </c>
      <c r="M10" s="8">
        <f>'02-02-26'!M10+'03-02-26'!M10+'04-02-26'!L10+'05-02-26'!M10+'06-02-26'!M10</f>
        <v>100</v>
      </c>
      <c r="N10" s="8">
        <f>'02-02-26'!N10+'03-02-26'!N10+'04-02-26'!N10+'05-02-26'!N10+'06-02-26'!N10</f>
        <v>1225.2239999999999</v>
      </c>
      <c r="O10" s="8">
        <f>'02-02-26'!O10+'03-02-26'!O10+'04-02-26'!O10+'05-02-26'!O10+'06-02-26'!O10</f>
        <v>400</v>
      </c>
      <c r="P10" s="7">
        <f t="shared" si="3"/>
        <v>3185.2240000000002</v>
      </c>
      <c r="Q10" s="8">
        <f>'02-02-26'!Q10+'03-02-26'!Q10+'04-02-26'!Q10+'05-02-26'!Q10+'06-02-26'!Q10</f>
        <v>2287</v>
      </c>
      <c r="R10" s="7">
        <f t="shared" si="2"/>
        <v>-898.22400000000016</v>
      </c>
      <c r="S10" s="4"/>
    </row>
    <row r="11" spans="1:19" x14ac:dyDescent="0.25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f>'02-02-26'!F11+'03-02-26'!F11+'04-02-26'!F11+'05-02-26'!F11+'06-02-26'!F11</f>
        <v>1144</v>
      </c>
      <c r="G11" s="6"/>
      <c r="H11" s="16">
        <f>'02-02-26'!H11+'03-02-26'!H11+'04-02-26'!H11+'05-02-26'!H11+'06-02-26'!H11</f>
        <v>355</v>
      </c>
      <c r="I11" s="17">
        <f t="shared" si="0"/>
        <v>2</v>
      </c>
      <c r="J11" s="7">
        <f t="shared" si="1"/>
        <v>710</v>
      </c>
      <c r="K11" s="8">
        <f>'02-02-26'!K11+'03-02-26'!K11+'04-02-26'!K11+'05-02-26'!K11+'06-02-26'!K11</f>
        <v>400</v>
      </c>
      <c r="L11" s="8">
        <f>'02-02-26'!L11+'03-02-26'!L11+'04-02-26'!L11+'05-02-26'!L11+'06-02-26'!L11</f>
        <v>100</v>
      </c>
      <c r="M11" s="8">
        <f>'02-02-26'!M11+'03-02-26'!M11+'04-02-26'!L11+'05-02-26'!M11+'06-02-26'!M11</f>
        <v>100</v>
      </c>
      <c r="N11" s="8">
        <f>'02-02-26'!N11+'03-02-26'!N11+'04-02-26'!N11+'05-02-26'!N11+'06-02-26'!N11</f>
        <v>420.95699999999999</v>
      </c>
      <c r="O11" s="8">
        <f>'02-02-26'!O11+'03-02-26'!O11+'04-02-26'!O11+'05-02-26'!O11+'06-02-26'!O11</f>
        <v>400</v>
      </c>
      <c r="P11" s="7">
        <f t="shared" si="3"/>
        <v>2130.9569999999999</v>
      </c>
      <c r="Q11" s="8">
        <f>'02-02-26'!Q11+'03-02-26'!Q11+'04-02-26'!Q11+'05-02-26'!Q11+'06-02-26'!Q11</f>
        <v>1768</v>
      </c>
      <c r="R11" s="7">
        <f t="shared" si="2"/>
        <v>-362.95699999999988</v>
      </c>
      <c r="S11" s="4"/>
    </row>
    <row r="12" spans="1:19" x14ac:dyDescent="0.25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f>'02-02-26'!F12+'03-02-26'!F12+'04-02-26'!F12+'05-02-26'!F12+'06-02-26'!F12</f>
        <v>2180</v>
      </c>
      <c r="G12" s="6"/>
      <c r="H12" s="16">
        <f>'02-02-26'!H12+'03-02-26'!H12+'04-02-26'!H12+'05-02-26'!H12+'06-02-26'!H12</f>
        <v>650</v>
      </c>
      <c r="I12" s="17">
        <f t="shared" si="0"/>
        <v>2</v>
      </c>
      <c r="J12" s="7">
        <f t="shared" si="1"/>
        <v>1300</v>
      </c>
      <c r="K12" s="8">
        <f>'02-02-26'!K12+'03-02-26'!K12+'04-02-26'!K12+'05-02-26'!K12+'06-02-26'!K12</f>
        <v>2000</v>
      </c>
      <c r="L12" s="8">
        <f>'02-02-26'!L12+'03-02-26'!L12+'04-02-26'!L12+'05-02-26'!L12+'06-02-26'!L12</f>
        <v>100</v>
      </c>
      <c r="M12" s="8">
        <f>'02-02-26'!M12+'03-02-26'!M12+'04-02-26'!L12+'05-02-26'!M12+'06-02-26'!M12</f>
        <v>100</v>
      </c>
      <c r="N12" s="8">
        <f>'02-02-26'!N12+'03-02-26'!N12+'04-02-26'!N12+'05-02-26'!N12+'06-02-26'!N12</f>
        <v>0</v>
      </c>
      <c r="O12" s="8">
        <f>'02-02-26'!O12+'03-02-26'!O12+'04-02-26'!O12+'05-02-26'!O12+'06-02-26'!O12</f>
        <v>400</v>
      </c>
      <c r="P12" s="7">
        <f t="shared" si="3"/>
        <v>3900</v>
      </c>
      <c r="Q12" s="8">
        <f>'02-02-26'!Q12+'03-02-26'!Q12+'04-02-26'!Q12+'05-02-26'!Q12+'06-02-26'!Q12</f>
        <v>3691</v>
      </c>
      <c r="R12" s="7">
        <f t="shared" si="2"/>
        <v>-209</v>
      </c>
      <c r="S12" s="4"/>
    </row>
    <row r="13" spans="1:19" x14ac:dyDescent="0.25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f>'02-02-26'!F13+'03-02-26'!F13+'04-02-26'!F13+'05-02-26'!F13+'06-02-26'!F13</f>
        <v>2090</v>
      </c>
      <c r="G13" s="6"/>
      <c r="H13" s="16">
        <f>'02-02-26'!H13+'03-02-26'!H13+'04-02-26'!H13+'05-02-26'!H13+'06-02-26'!H13</f>
        <v>645</v>
      </c>
      <c r="I13" s="17">
        <f t="shared" si="0"/>
        <v>2</v>
      </c>
      <c r="J13" s="7">
        <f t="shared" si="1"/>
        <v>1290</v>
      </c>
      <c r="K13" s="8">
        <f>'02-02-26'!K13+'03-02-26'!K13+'04-02-26'!K13+'05-02-26'!K13+'06-02-26'!K13</f>
        <v>2000</v>
      </c>
      <c r="L13" s="8">
        <f>'02-02-26'!L13+'03-02-26'!L13+'04-02-26'!L13+'05-02-26'!L13+'06-02-26'!L13</f>
        <v>160</v>
      </c>
      <c r="M13" s="8">
        <f>'02-02-26'!M13+'03-02-26'!M13+'04-02-26'!L13+'05-02-26'!M13+'06-02-26'!M13</f>
        <v>112</v>
      </c>
      <c r="N13" s="8">
        <f>'02-02-26'!N13+'03-02-26'!N13+'04-02-26'!N13+'05-02-26'!N13+'06-02-26'!N13</f>
        <v>0</v>
      </c>
      <c r="O13" s="8">
        <f>'02-02-26'!O13+'03-02-26'!O13+'04-02-26'!O13+'05-02-26'!O13+'06-02-26'!O13</f>
        <v>400</v>
      </c>
      <c r="P13" s="7">
        <f t="shared" si="3"/>
        <v>3962</v>
      </c>
      <c r="Q13" s="8">
        <f>'02-02-26'!Q13+'03-02-26'!Q13+'04-02-26'!Q13+'05-02-26'!Q13+'06-02-26'!Q13</f>
        <v>2620</v>
      </c>
      <c r="R13" s="7">
        <f t="shared" si="2"/>
        <v>-1342</v>
      </c>
      <c r="S13" s="4"/>
    </row>
    <row r="14" spans="1:19" x14ac:dyDescent="0.25">
      <c r="A14" s="3">
        <v>8</v>
      </c>
      <c r="B14" s="4" t="s">
        <v>43</v>
      </c>
      <c r="C14" s="4" t="s">
        <v>58</v>
      </c>
      <c r="D14" s="5" t="s">
        <v>65</v>
      </c>
      <c r="E14" s="19"/>
      <c r="F14" s="6">
        <f>'02-02-26'!F14+'03-02-26'!F14+'04-02-26'!F14+'05-02-26'!F14+'06-02-26'!F14</f>
        <v>0</v>
      </c>
      <c r="G14" s="6"/>
      <c r="H14" s="16">
        <f>'02-02-26'!H14+'03-02-26'!H14+'04-02-26'!H14+'05-02-26'!H14+'06-02-26'!H14</f>
        <v>0</v>
      </c>
      <c r="I14" s="17">
        <f t="shared" si="0"/>
        <v>2</v>
      </c>
      <c r="J14" s="7">
        <f t="shared" si="1"/>
        <v>0</v>
      </c>
      <c r="K14" s="8">
        <f>'02-02-26'!K14+'03-02-26'!K14+'04-02-26'!K14+'05-02-26'!K14+'06-02-26'!K14</f>
        <v>400</v>
      </c>
      <c r="L14" s="8">
        <f>'02-02-26'!L14+'03-02-26'!L14+'04-02-26'!L14+'05-02-26'!L14+'06-02-26'!L14</f>
        <v>100</v>
      </c>
      <c r="M14" s="8">
        <f>'02-02-26'!M14+'03-02-26'!M14+'04-02-26'!L14+'05-02-26'!M14+'06-02-26'!M14</f>
        <v>100</v>
      </c>
      <c r="N14" s="8">
        <f>'02-02-26'!N14+'03-02-26'!N14+'04-02-26'!N14+'05-02-26'!N14+'06-02-26'!N14</f>
        <v>620</v>
      </c>
      <c r="O14" s="8">
        <f>'02-02-26'!O14+'03-02-26'!O14+'04-02-26'!O14+'05-02-26'!O14+'06-02-26'!O14</f>
        <v>400</v>
      </c>
      <c r="P14" s="7">
        <f t="shared" si="3"/>
        <v>1620</v>
      </c>
      <c r="Q14" s="8">
        <f>'02-02-26'!Q14+'03-02-26'!Q14+'04-02-26'!Q14+'05-02-26'!Q14+'06-02-26'!Q14</f>
        <v>0</v>
      </c>
      <c r="R14" s="7">
        <f t="shared" si="2"/>
        <v>-1620</v>
      </c>
      <c r="S14" s="4"/>
    </row>
    <row r="15" spans="1:19" x14ac:dyDescent="0.25">
      <c r="A15" s="3">
        <v>9</v>
      </c>
      <c r="B15" s="4" t="s">
        <v>44</v>
      </c>
      <c r="C15" s="4"/>
      <c r="D15" s="5" t="s">
        <v>65</v>
      </c>
      <c r="E15" s="19"/>
      <c r="F15" s="6">
        <f>'02-02-26'!F15+'03-02-26'!F15+'04-02-26'!F15+'05-02-26'!F15+'06-02-26'!F15</f>
        <v>260</v>
      </c>
      <c r="G15" s="6"/>
      <c r="H15" s="16">
        <f>'02-02-26'!H15+'03-02-26'!H15+'04-02-26'!H15+'05-02-26'!H15+'06-02-26'!H15</f>
        <v>80</v>
      </c>
      <c r="I15" s="17">
        <f t="shared" si="0"/>
        <v>2</v>
      </c>
      <c r="J15" s="7">
        <f t="shared" si="1"/>
        <v>160</v>
      </c>
      <c r="K15" s="8">
        <f>'02-02-26'!K15+'03-02-26'!K15+'04-02-26'!K15+'05-02-26'!K15+'06-02-26'!K15</f>
        <v>400</v>
      </c>
      <c r="L15" s="8">
        <f>'02-02-26'!L15+'03-02-26'!L15+'04-02-26'!L15+'05-02-26'!L15+'06-02-26'!L15</f>
        <v>100</v>
      </c>
      <c r="M15" s="8">
        <f>'02-02-26'!M15+'03-02-26'!M15+'04-02-26'!L15+'05-02-26'!M15+'06-02-26'!M15</f>
        <v>100</v>
      </c>
      <c r="N15" s="8">
        <f>'02-02-26'!N15+'03-02-26'!N15+'04-02-26'!N15+'05-02-26'!N15+'06-02-26'!N15</f>
        <v>446.25</v>
      </c>
      <c r="O15" s="8">
        <f>'02-02-26'!O15+'03-02-26'!O15+'04-02-26'!O15+'05-02-26'!O15+'06-02-26'!O15</f>
        <v>400</v>
      </c>
      <c r="P15" s="7">
        <f t="shared" si="3"/>
        <v>1606.25</v>
      </c>
      <c r="Q15" s="8">
        <f>'02-02-26'!Q15+'03-02-26'!Q15+'04-02-26'!Q15+'05-02-26'!Q15+'06-02-26'!Q15</f>
        <v>544</v>
      </c>
      <c r="R15" s="7">
        <f t="shared" si="2"/>
        <v>-1062.25</v>
      </c>
      <c r="S15" s="4"/>
    </row>
    <row r="16" spans="1:19" ht="30" x14ac:dyDescent="0.25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f>'02-02-26'!F16+'03-02-26'!F16+'04-02-26'!F16+'05-02-26'!F16+'06-02-26'!F16</f>
        <v>160</v>
      </c>
      <c r="G16" s="6"/>
      <c r="H16" s="16">
        <f>'02-02-26'!H16+'03-02-26'!H16+'04-02-26'!H16+'05-02-26'!H16+'06-02-26'!H16</f>
        <v>60</v>
      </c>
      <c r="I16" s="17">
        <f t="shared" si="0"/>
        <v>2</v>
      </c>
      <c r="J16" s="7">
        <f t="shared" si="1"/>
        <v>120</v>
      </c>
      <c r="K16" s="8">
        <f>'02-02-26'!K16+'03-02-26'!K16+'04-02-26'!K16+'05-02-26'!K16+'06-02-26'!K16</f>
        <v>400</v>
      </c>
      <c r="L16" s="8">
        <f>'02-02-26'!L16+'03-02-26'!L16+'04-02-26'!L16+'05-02-26'!L16+'06-02-26'!L16</f>
        <v>100</v>
      </c>
      <c r="M16" s="8">
        <f>'02-02-26'!M16+'03-02-26'!M16+'04-02-26'!L16+'05-02-26'!M16+'06-02-26'!M16</f>
        <v>100</v>
      </c>
      <c r="N16" s="8">
        <f>'02-02-26'!N16+'03-02-26'!N16+'04-02-26'!N16+'05-02-26'!N16+'06-02-26'!N16</f>
        <v>0</v>
      </c>
      <c r="O16" s="8">
        <f>'02-02-26'!O16+'03-02-26'!O16+'04-02-26'!O16+'05-02-26'!O16+'06-02-26'!O16</f>
        <v>400</v>
      </c>
      <c r="P16" s="7">
        <f t="shared" si="3"/>
        <v>1120</v>
      </c>
      <c r="Q16" s="8">
        <f>'02-02-26'!Q16+'03-02-26'!Q16+'04-02-26'!Q16+'05-02-26'!Q16+'06-02-26'!Q16</f>
        <v>400</v>
      </c>
      <c r="R16" s="7">
        <f t="shared" si="2"/>
        <v>-720</v>
      </c>
      <c r="S16" s="4"/>
    </row>
    <row r="17" spans="1:19" x14ac:dyDescent="0.25">
      <c r="A17" s="3">
        <v>11</v>
      </c>
      <c r="B17" s="4" t="s">
        <v>46</v>
      </c>
      <c r="C17" s="4" t="s">
        <v>60</v>
      </c>
      <c r="D17" s="5" t="s">
        <v>65</v>
      </c>
      <c r="E17" s="19"/>
      <c r="F17" s="6">
        <f>'02-02-26'!F17+'03-02-26'!F17+'04-02-26'!F17+'05-02-26'!F17+'06-02-26'!F17</f>
        <v>0</v>
      </c>
      <c r="G17" s="6"/>
      <c r="H17" s="16">
        <f>'02-02-26'!H17+'03-02-26'!H17+'04-02-26'!H17+'05-02-26'!H17+'06-02-26'!H17</f>
        <v>0</v>
      </c>
      <c r="I17" s="17">
        <f t="shared" si="0"/>
        <v>2</v>
      </c>
      <c r="J17" s="7">
        <f t="shared" si="1"/>
        <v>0</v>
      </c>
      <c r="K17" s="8">
        <f>'02-02-26'!K17+'03-02-26'!K17+'04-02-26'!K17+'05-02-26'!K17+'06-02-26'!K17</f>
        <v>400</v>
      </c>
      <c r="L17" s="8">
        <f>'02-02-26'!L17+'03-02-26'!L17+'04-02-26'!L17+'05-02-26'!L17+'06-02-26'!L17</f>
        <v>100</v>
      </c>
      <c r="M17" s="8">
        <f>'02-02-26'!M17+'03-02-26'!M17+'04-02-26'!L17+'05-02-26'!M17+'06-02-26'!M17</f>
        <v>100</v>
      </c>
      <c r="N17" s="8">
        <f>'02-02-26'!N17+'03-02-26'!N17+'04-02-26'!N17+'05-02-26'!N17+'06-02-26'!N17</f>
        <v>1123.479</v>
      </c>
      <c r="O17" s="8">
        <f>'02-02-26'!O17+'03-02-26'!O17+'04-02-26'!O17+'05-02-26'!O17+'06-02-26'!O17</f>
        <v>400</v>
      </c>
      <c r="P17" s="7">
        <f t="shared" si="3"/>
        <v>2123.4790000000003</v>
      </c>
      <c r="Q17" s="8">
        <f>'02-02-26'!Q17+'03-02-26'!Q17+'04-02-26'!Q17+'05-02-26'!Q17+'06-02-26'!Q17</f>
        <v>0</v>
      </c>
      <c r="R17" s="7">
        <f t="shared" si="2"/>
        <v>-2123.4790000000003</v>
      </c>
      <c r="S17" s="4"/>
    </row>
    <row r="18" spans="1:19" x14ac:dyDescent="0.25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f>'02-02-26'!F18+'03-02-26'!F18+'04-02-26'!F18+'05-02-26'!F18+'06-02-26'!F18</f>
        <v>1380</v>
      </c>
      <c r="G18" s="6"/>
      <c r="H18" s="16">
        <f>'02-02-26'!H18+'03-02-26'!H18+'04-02-26'!H18+'05-02-26'!H18+'06-02-26'!H18</f>
        <v>510</v>
      </c>
      <c r="I18" s="17">
        <f t="shared" si="0"/>
        <v>2</v>
      </c>
      <c r="J18" s="7">
        <f t="shared" si="1"/>
        <v>1020</v>
      </c>
      <c r="K18" s="8">
        <f>'02-02-26'!K18+'03-02-26'!K18+'04-02-26'!K18+'05-02-26'!K18+'06-02-26'!K18</f>
        <v>400</v>
      </c>
      <c r="L18" s="8">
        <f>'02-02-26'!L18+'03-02-26'!L18+'04-02-26'!L18+'05-02-26'!L18+'06-02-26'!L18</f>
        <v>100</v>
      </c>
      <c r="M18" s="8">
        <f>'02-02-26'!M18+'03-02-26'!M18+'04-02-26'!L18+'05-02-26'!M18+'06-02-26'!M18</f>
        <v>100</v>
      </c>
      <c r="N18" s="8">
        <f>'02-02-26'!N18+'03-02-26'!N18+'04-02-26'!N18+'05-02-26'!N18+'06-02-26'!N18</f>
        <v>119</v>
      </c>
      <c r="O18" s="8">
        <f>'02-02-26'!O18+'03-02-26'!O18+'04-02-26'!O18+'05-02-26'!O18+'06-02-26'!O18</f>
        <v>400</v>
      </c>
      <c r="P18" s="7">
        <f t="shared" si="3"/>
        <v>2139</v>
      </c>
      <c r="Q18" s="8">
        <f>'02-02-26'!Q18+'03-02-26'!Q18+'04-02-26'!Q18+'05-02-26'!Q18+'06-02-26'!Q18</f>
        <v>3720</v>
      </c>
      <c r="R18" s="7">
        <f t="shared" si="2"/>
        <v>1581</v>
      </c>
      <c r="S18" s="4"/>
    </row>
    <row r="19" spans="1:19" x14ac:dyDescent="0.25">
      <c r="A19" s="3">
        <v>13</v>
      </c>
      <c r="B19" s="4" t="s">
        <v>48</v>
      </c>
      <c r="C19" s="4" t="s">
        <v>62</v>
      </c>
      <c r="D19" s="5" t="s">
        <v>66</v>
      </c>
      <c r="E19" s="19"/>
      <c r="F19" s="6">
        <f>'02-02-26'!F19+'03-02-26'!F19+'04-02-26'!F19+'05-02-26'!F19+'06-02-26'!F19</f>
        <v>100</v>
      </c>
      <c r="G19" s="6"/>
      <c r="H19" s="16">
        <f>'02-02-26'!H19+'03-02-26'!H19+'04-02-26'!H19+'05-02-26'!H19+'06-02-26'!H19</f>
        <v>35</v>
      </c>
      <c r="I19" s="17">
        <f t="shared" si="0"/>
        <v>2</v>
      </c>
      <c r="J19" s="7">
        <f t="shared" si="1"/>
        <v>70</v>
      </c>
      <c r="K19" s="8">
        <f>'02-02-26'!K19+'03-02-26'!K19+'04-02-26'!K19+'05-02-26'!K19+'06-02-26'!K19</f>
        <v>400</v>
      </c>
      <c r="L19" s="8">
        <f>'02-02-26'!L19+'03-02-26'!L19+'04-02-26'!L19+'05-02-26'!L19+'06-02-26'!L19</f>
        <v>100</v>
      </c>
      <c r="M19" s="8">
        <f>'02-02-26'!M19+'03-02-26'!M19+'04-02-26'!L19+'05-02-26'!M19+'06-02-26'!M19</f>
        <v>100</v>
      </c>
      <c r="N19" s="8">
        <f>'02-02-26'!N19+'03-02-26'!N19+'04-02-26'!N19+'05-02-26'!N19+'06-02-26'!N19</f>
        <v>0</v>
      </c>
      <c r="O19" s="8">
        <f>'02-02-26'!O19+'03-02-26'!O19+'04-02-26'!O19+'05-02-26'!O19+'06-02-26'!O19</f>
        <v>400</v>
      </c>
      <c r="P19" s="7">
        <f t="shared" si="3"/>
        <v>1070</v>
      </c>
      <c r="Q19" s="8">
        <f>'02-02-26'!Q19+'03-02-26'!Q19+'04-02-26'!Q19+'05-02-26'!Q19+'06-02-26'!Q19</f>
        <v>200</v>
      </c>
      <c r="R19" s="7">
        <f t="shared" si="2"/>
        <v>-870</v>
      </c>
      <c r="S19" s="4"/>
    </row>
    <row r="20" spans="1:19" ht="30" x14ac:dyDescent="0.25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f>'02-02-26'!F20+'03-02-26'!F20+'04-02-26'!F20+'05-02-26'!F20+'06-02-26'!F20</f>
        <v>1700</v>
      </c>
      <c r="G20" s="6"/>
      <c r="H20" s="16">
        <f>'02-02-26'!H20+'03-02-26'!H20+'04-02-26'!H20+'05-02-26'!H20+'06-02-26'!H20</f>
        <v>565</v>
      </c>
      <c r="I20" s="17">
        <f t="shared" si="0"/>
        <v>2</v>
      </c>
      <c r="J20" s="7">
        <f t="shared" si="1"/>
        <v>1130</v>
      </c>
      <c r="K20" s="8">
        <f>'02-02-26'!K20+'03-02-26'!K20+'04-02-26'!K20+'05-02-26'!K20+'06-02-26'!K20</f>
        <v>2000</v>
      </c>
      <c r="L20" s="8">
        <f>'02-02-26'!L20+'03-02-26'!L20+'04-02-26'!L20+'05-02-26'!L20+'06-02-26'!L20</f>
        <v>160</v>
      </c>
      <c r="M20" s="8">
        <f>'02-02-26'!M20+'03-02-26'!M20+'04-02-26'!L20+'05-02-26'!M20+'06-02-26'!M20</f>
        <v>112</v>
      </c>
      <c r="N20" s="8">
        <f>'02-02-26'!N20+'03-02-26'!N20+'04-02-26'!N20+'05-02-26'!N20+'06-02-26'!N20</f>
        <v>373.38499999999999</v>
      </c>
      <c r="O20" s="8">
        <f>'02-02-26'!O20+'03-02-26'!O20+'04-02-26'!O20+'05-02-26'!O20+'06-02-26'!O20</f>
        <v>400</v>
      </c>
      <c r="P20" s="7">
        <f t="shared" si="3"/>
        <v>4175.3850000000002</v>
      </c>
      <c r="Q20" s="8">
        <f>'02-02-26'!Q20+'03-02-26'!Q20+'04-02-26'!Q20+'05-02-26'!Q20+'06-02-26'!Q20</f>
        <v>4740</v>
      </c>
      <c r="R20" s="7">
        <f t="shared" si="2"/>
        <v>564.61499999999978</v>
      </c>
      <c r="S20" s="4"/>
    </row>
    <row r="21" spans="1:19" x14ac:dyDescent="0.25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f>'02-02-26'!F21+'03-02-26'!F21+'04-02-26'!F21+'05-02-26'!F21+'06-02-26'!F21</f>
        <v>1800</v>
      </c>
      <c r="G21" s="6"/>
      <c r="H21" s="16">
        <f>'02-02-26'!H21+'03-02-26'!H21+'04-02-26'!H21+'05-02-26'!H21+'06-02-26'!H21</f>
        <v>605</v>
      </c>
      <c r="I21" s="17">
        <f t="shared" si="0"/>
        <v>2</v>
      </c>
      <c r="J21" s="7">
        <f t="shared" si="1"/>
        <v>1210</v>
      </c>
      <c r="K21" s="8">
        <f>'02-02-26'!K21+'03-02-26'!K21+'04-02-26'!K21+'05-02-26'!K21+'06-02-26'!K21</f>
        <v>2000</v>
      </c>
      <c r="L21" s="8">
        <f>'02-02-26'!L21+'03-02-26'!L21+'04-02-26'!L21+'05-02-26'!L21+'06-02-26'!L21</f>
        <v>160</v>
      </c>
      <c r="M21" s="8">
        <f>'02-02-26'!M21+'03-02-26'!M21+'04-02-26'!L21+'05-02-26'!M21+'06-02-26'!M21</f>
        <v>112</v>
      </c>
      <c r="N21" s="8">
        <f>'02-02-26'!N21+'03-02-26'!N21+'04-02-26'!N21+'05-02-26'!N21+'06-02-26'!N21</f>
        <v>0</v>
      </c>
      <c r="O21" s="8">
        <f>'02-02-26'!O21+'03-02-26'!O21+'04-02-26'!O21+'05-02-26'!O21+'06-02-26'!O21</f>
        <v>400</v>
      </c>
      <c r="P21" s="7">
        <f t="shared" si="3"/>
        <v>3882</v>
      </c>
      <c r="Q21" s="8">
        <f>'02-02-26'!Q21+'03-02-26'!Q21+'04-02-26'!Q21+'05-02-26'!Q21+'06-02-26'!Q21</f>
        <v>4900</v>
      </c>
      <c r="R21" s="7">
        <f t="shared" si="2"/>
        <v>1018</v>
      </c>
      <c r="S21" s="4"/>
    </row>
    <row r="22" spans="1:19" x14ac:dyDescent="0.25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25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25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9000000000000004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149999999999999" customHeight="1" x14ac:dyDescent="0.25">
      <c r="A26" s="30" t="s">
        <v>23</v>
      </c>
      <c r="B26" s="31"/>
      <c r="C26" s="31"/>
      <c r="D26" s="31"/>
      <c r="E26" s="32"/>
      <c r="F26" s="11">
        <f>SUM(F7:F24)</f>
        <v>16786</v>
      </c>
      <c r="G26" s="10"/>
      <c r="H26" s="18">
        <f>SUM(H7:H24)</f>
        <v>5385</v>
      </c>
      <c r="I26" s="10"/>
      <c r="J26" s="12">
        <f>SUM(J7:J24)</f>
        <v>10770</v>
      </c>
      <c r="K26" s="20">
        <f>SUM(K7:K21)</f>
        <v>15600</v>
      </c>
      <c r="L26" s="20">
        <f>SUM(L7:L21)</f>
        <v>1800</v>
      </c>
      <c r="M26" s="20">
        <f t="shared" ref="M26:O26" si="4">SUM(M7:M21)</f>
        <v>1560</v>
      </c>
      <c r="N26" s="20">
        <f>SUM(N7:N23)</f>
        <v>6464.295000000001</v>
      </c>
      <c r="O26" s="20">
        <f t="shared" si="4"/>
        <v>6000</v>
      </c>
      <c r="P26" s="12">
        <f>SUM(P7:P24)</f>
        <v>42194.295000000006</v>
      </c>
      <c r="Q26" s="12">
        <f>SUM(Q7:Q24)</f>
        <v>30444</v>
      </c>
      <c r="R26" s="12">
        <f>SUM(R7:R24)</f>
        <v>-11750.295</v>
      </c>
      <c r="S26" s="10"/>
    </row>
    <row r="27" spans="1:19" ht="24" customHeight="1" x14ac:dyDescent="0.25">
      <c r="F27" s="13" t="s">
        <v>24</v>
      </c>
      <c r="H27" s="13" t="s">
        <v>25</v>
      </c>
      <c r="J27" s="13" t="s">
        <v>26</v>
      </c>
      <c r="K27" s="23" t="s">
        <v>79</v>
      </c>
      <c r="L27" s="21" t="s">
        <v>80</v>
      </c>
      <c r="M27" s="23" t="s">
        <v>81</v>
      </c>
      <c r="N27" s="22" t="s">
        <v>82</v>
      </c>
      <c r="O27" s="23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A3:B3"/>
    <mergeCell ref="D3:E3"/>
    <mergeCell ref="G3:H3"/>
    <mergeCell ref="A4:S4"/>
  </mergeCells>
  <conditionalFormatting sqref="R7:R2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selection sqref="A1:H1"/>
    </sheetView>
  </sheetViews>
  <sheetFormatPr baseColWidth="10" defaultColWidth="8.85546875" defaultRowHeight="15" x14ac:dyDescent="0.25"/>
  <cols>
    <col min="1" max="8" width="18" customWidth="1"/>
  </cols>
  <sheetData>
    <row r="1" spans="1:8" ht="15.75" x14ac:dyDescent="0.25">
      <c r="A1" s="38" t="s">
        <v>30</v>
      </c>
      <c r="B1" s="34"/>
      <c r="C1" s="34"/>
      <c r="D1" s="34"/>
      <c r="E1" s="34"/>
      <c r="F1" s="34"/>
      <c r="G1" s="34"/>
      <c r="H1" s="34"/>
    </row>
    <row r="3" spans="1:8" x14ac:dyDescent="0.25">
      <c r="A3" s="2" t="s">
        <v>7</v>
      </c>
      <c r="B3" s="2" t="s">
        <v>31</v>
      </c>
      <c r="C3" s="2" t="s">
        <v>32</v>
      </c>
      <c r="D3" s="2" t="s">
        <v>25</v>
      </c>
      <c r="E3" s="2" t="s">
        <v>33</v>
      </c>
      <c r="F3" s="2" t="s">
        <v>27</v>
      </c>
      <c r="G3" s="2" t="s">
        <v>34</v>
      </c>
      <c r="H3" s="2" t="s">
        <v>35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02-02-26</vt:lpstr>
      <vt:lpstr>03-02-26</vt:lpstr>
      <vt:lpstr>04-02-26</vt:lpstr>
      <vt:lpstr>05-02-26</vt:lpstr>
      <vt:lpstr>06-02-26</vt:lpstr>
      <vt:lpstr>07-02-26 </vt:lpstr>
      <vt:lpstr>09-02-26</vt:lpstr>
      <vt:lpstr>10-02-26 </vt:lpstr>
      <vt:lpstr>RECAP 02-26</vt:lpstr>
      <vt:lpstr>Récap_Mensuel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sawsen.bellil</cp:lastModifiedBy>
  <dcterms:created xsi:type="dcterms:W3CDTF">2026-02-06T13:05:13Z</dcterms:created>
  <dcterms:modified xsi:type="dcterms:W3CDTF">2026-02-10T16:05:15Z</dcterms:modified>
</cp:coreProperties>
</file>